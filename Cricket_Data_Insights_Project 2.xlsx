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updateLinks="always" hidePivotFieldList="1" defaultThemeVersion="124226"/>
  <xr:revisionPtr revIDLastSave="0" documentId="8_{80AB762C-3A39-4CD6-A474-F34CDC5F386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2" sheetId="2" r:id="rId1"/>
    <sheet name="Sheet1" sheetId="1" r:id="rId2"/>
  </sheets>
  <definedNames>
    <definedName name="Slicer_Player_Name">#N/A</definedName>
    <definedName name="Slicer_Role">#N/A</definedName>
    <definedName name="Slicer_Team">#N/A</definedName>
  </definedNames>
  <calcPr calcId="191028"/>
  <pivotCaches>
    <pivotCache cacheId="1249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H4" i="2"/>
  <c r="E4" i="2"/>
  <c r="F21" i="1"/>
  <c r="C3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P10" i="1"/>
  <c r="P11" i="1"/>
  <c r="P8" i="1"/>
  <c r="P13" i="1"/>
  <c r="P5" i="1"/>
  <c r="P14" i="1"/>
  <c r="P2" i="1"/>
  <c r="P7" i="1"/>
  <c r="P16" i="1"/>
  <c r="P12" i="1"/>
  <c r="P4" i="1"/>
  <c r="P9" i="1"/>
  <c r="P15" i="1"/>
  <c r="P6" i="1"/>
  <c r="P3" i="1"/>
  <c r="O11" i="1"/>
  <c r="O10" i="1"/>
  <c r="O8" i="1"/>
  <c r="O13" i="1"/>
  <c r="O5" i="1"/>
  <c r="O14" i="1"/>
  <c r="O2" i="1"/>
  <c r="O7" i="1"/>
  <c r="O16" i="1"/>
  <c r="O12" i="1"/>
  <c r="O4" i="1"/>
  <c r="O9" i="1"/>
  <c r="O15" i="1"/>
  <c r="O6" i="1"/>
  <c r="O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<sst xmlns="http://schemas.openxmlformats.org/spreadsheetml/2006/main" count="190" uniqueCount="51">
  <si>
    <t>CRICKET DATA INSIGHTS DASHBOARD</t>
  </si>
  <si>
    <t>TOTAL RUNS</t>
  </si>
  <si>
    <t>TOTAL WICKETS</t>
  </si>
  <si>
    <t>AVG STRIKE RATE</t>
  </si>
  <si>
    <t>Player Name</t>
  </si>
  <si>
    <t>Team</t>
  </si>
  <si>
    <t>Matches</t>
  </si>
  <si>
    <t>Innings</t>
  </si>
  <si>
    <t>Not Outs</t>
  </si>
  <si>
    <t>Runs</t>
  </si>
  <si>
    <t>Balls Faced</t>
  </si>
  <si>
    <t>Fours</t>
  </si>
  <si>
    <t>Sixes</t>
  </si>
  <si>
    <t>Wickets</t>
  </si>
  <si>
    <t>Overs Bowled</t>
  </si>
  <si>
    <t>Runs Conceded</t>
  </si>
  <si>
    <t>Column1</t>
  </si>
  <si>
    <t>Year</t>
  </si>
  <si>
    <t>strike rate</t>
  </si>
  <si>
    <t>all rounder</t>
  </si>
  <si>
    <t>match efficiency</t>
  </si>
  <si>
    <t>Pat Cummins</t>
  </si>
  <si>
    <t>Australia</t>
  </si>
  <si>
    <t>Shakib Al Hasan</t>
  </si>
  <si>
    <t>Bangladesh</t>
  </si>
  <si>
    <t>Trent Boult</t>
  </si>
  <si>
    <t>New Zealand</t>
  </si>
  <si>
    <t>Shaheen Afridi</t>
  </si>
  <si>
    <t>Pakistan</t>
  </si>
  <si>
    <t>Kagiso Rabada</t>
  </si>
  <si>
    <t>South Africa</t>
  </si>
  <si>
    <t>Ben Stokes</t>
  </si>
  <si>
    <t>England</t>
  </si>
  <si>
    <t>Hardik Pandya</t>
  </si>
  <si>
    <t>India</t>
  </si>
  <si>
    <t>Glenn Maxwell</t>
  </si>
  <si>
    <t>Rohit Sharma</t>
  </si>
  <si>
    <t>Virat Kohli</t>
  </si>
  <si>
    <t>Kane Williamson</t>
  </si>
  <si>
    <t>Babar Azam</t>
  </si>
  <si>
    <t>David Warner</t>
  </si>
  <si>
    <t>Rassie van der Dussen</t>
  </si>
  <si>
    <t>Jos Buttler</t>
  </si>
  <si>
    <t>Average of strike rate</t>
  </si>
  <si>
    <t>Role</t>
  </si>
  <si>
    <t>Sum of all rounder</t>
  </si>
  <si>
    <t>All-rounder</t>
  </si>
  <si>
    <t>Sum of Runs</t>
  </si>
  <si>
    <t>Sum of Wickets</t>
  </si>
  <si>
    <t>Grand Total</t>
  </si>
  <si>
    <t>Average of match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</si>
</sst>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Border="1" applyAlignment="1">
      <alignment vertical="top"/>
    </xf>
    <xf numFmtId="165" fontId="0" fillId="0" borderId="0" xfId="0" applyNumberFormat="1"/>
    <xf numFmtId="4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2" borderId="4" xfId="0" applyNumberFormat="1" applyFont="1" applyFill="1" applyBorder="1" applyAlignment="1">
      <alignment horizontal="center" vertical="top"/>
    </xf>
    <xf numFmtId="164" fontId="2" fillId="2" borderId="5" xfId="0" applyNumberFormat="1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4" formatCode="#,##0.00"/>
    </dxf>
    <dxf>
      <numFmt numFmtId="4" formatCode="#,##0.00"/>
    </dxf>
    <dxf>
      <numFmt numFmtId="164" formatCode="0.0"/>
    </dxf>
    <dxf>
      <numFmt numFmtId="165" formatCode="#,##0.0"/>
    </dxf>
  </dxfs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microsoft.com/office/2017/06/relationships/rdRichValue" Target="richData/rdrichvalue.xml"/><Relationship Id="rId5" Type="http://schemas.microsoft.com/office/2007/relationships/slicerCache" Target="slicerCaches/slicerCache2.xml"/><Relationship Id="rId10" Type="http://schemas.openxmlformats.org/officeDocument/2006/relationships/sheetMetadata" Target="metadata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[Cricket_Data_Insights_Project 2.xlsx]Sheet1!PivotTable1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Bowlers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F243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F243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F243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F243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F243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243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Sheet1!$C$21:$C$26</c:f>
              <c:strCache>
                <c:ptCount val="5"/>
                <c:pt idx="0">
                  <c:v>Kane Williamson</c:v>
                </c:pt>
                <c:pt idx="1">
                  <c:v>David Warner</c:v>
                </c:pt>
                <c:pt idx="2">
                  <c:v>Babar Azam</c:v>
                </c:pt>
                <c:pt idx="3">
                  <c:v>Rohit Sharma</c:v>
                </c:pt>
                <c:pt idx="4">
                  <c:v>Virat Kohli</c:v>
                </c:pt>
              </c:strCache>
            </c:strRef>
          </c:cat>
          <c:val>
            <c:numRef>
              <c:f>Sheet1!$D$21:$D$26</c:f>
              <c:numCache>
                <c:formatCode>General</c:formatCode>
                <c:ptCount val="5"/>
                <c:pt idx="0">
                  <c:v>7800</c:v>
                </c:pt>
                <c:pt idx="1">
                  <c:v>8300</c:v>
                </c:pt>
                <c:pt idx="2">
                  <c:v>8500</c:v>
                </c:pt>
                <c:pt idx="3">
                  <c:v>10700</c:v>
                </c:pt>
                <c:pt idx="4">
                  <c:v>12800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9-4B04-82EC-A1F2AC291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0741768"/>
        <c:axId val="1090743816"/>
      </c:barChart>
      <c:catAx>
        <c:axId val="1090741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743816"/>
        <c:crossesAt val="0"/>
        <c:auto val="1"/>
        <c:lblAlgn val="ctr"/>
        <c:lblOffset val="100"/>
        <c:noMultiLvlLbl val="0"/>
      </c:catAx>
      <c:valAx>
        <c:axId val="1090743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741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[Cricket_Data_Insights_Project 2.xlsx]Sheet1!PivotTable2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Batsmen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6609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6609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6609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6609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6609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Sheet1!$J$57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66092"/>
            </a:solidFill>
            <a:ln>
              <a:noFill/>
            </a:ln>
            <a:effectLst/>
          </c:spPr>
          <c:invertIfNegative val="0"/>
          <c:cat>
            <c:strRef>
              <c:f>Sheet1!$I$58:$I$63</c:f>
              <c:strCache>
                <c:ptCount val="5"/>
                <c:pt idx="0">
                  <c:v>Kagiso Rabada</c:v>
                </c:pt>
                <c:pt idx="1">
                  <c:v>Shaheen Afridi</c:v>
                </c:pt>
                <c:pt idx="2">
                  <c:v>Shakib Al Hasan</c:v>
                </c:pt>
                <c:pt idx="3">
                  <c:v>Trent Boult</c:v>
                </c:pt>
                <c:pt idx="4">
                  <c:v>Pat Cummins</c:v>
                </c:pt>
              </c:strCache>
            </c:strRef>
          </c:cat>
          <c:val>
            <c:numRef>
              <c:f>Sheet1!$J$58:$J$63</c:f>
              <c:numCache>
                <c:formatCode>General</c:formatCode>
                <c:ptCount val="5"/>
                <c:pt idx="0">
                  <c:v>165</c:v>
                </c:pt>
                <c:pt idx="1">
                  <c:v>170</c:v>
                </c:pt>
                <c:pt idx="2">
                  <c:v>190</c:v>
                </c:pt>
                <c:pt idx="3">
                  <c:v>190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1-4AE6-9732-E25C2A80F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1045411848"/>
        <c:axId val="1045417992"/>
      </c:barChart>
      <c:catAx>
        <c:axId val="1045411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17992"/>
        <c:crosses val="autoZero"/>
        <c:auto val="1"/>
        <c:lblAlgn val="ctr"/>
        <c:lblOffset val="100"/>
        <c:noMultiLvlLbl val="0"/>
      </c:catAx>
      <c:valAx>
        <c:axId val="1045417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11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[Cricket_Data_Insights_Project 2.xlsx]Sheet1!PivotTable4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Strike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Sheet1!$H$18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Sheet1!$G$19:$G$34</c:f>
              <c:strCache>
                <c:ptCount val="15"/>
                <c:pt idx="0">
                  <c:v>Babar Azam</c:v>
                </c:pt>
                <c:pt idx="1">
                  <c:v>Ben Stokes</c:v>
                </c:pt>
                <c:pt idx="2">
                  <c:v>David Warner</c:v>
                </c:pt>
                <c:pt idx="3">
                  <c:v>Glenn Maxwell</c:v>
                </c:pt>
                <c:pt idx="4">
                  <c:v>Hardik Pandya</c:v>
                </c:pt>
                <c:pt idx="5">
                  <c:v>Jos Buttler</c:v>
                </c:pt>
                <c:pt idx="6">
                  <c:v>Kagiso Rabada</c:v>
                </c:pt>
                <c:pt idx="7">
                  <c:v>Kane Williamson</c:v>
                </c:pt>
                <c:pt idx="8">
                  <c:v>Pat Cummins</c:v>
                </c:pt>
                <c:pt idx="9">
                  <c:v>Rassie van der Dussen</c:v>
                </c:pt>
                <c:pt idx="10">
                  <c:v>Rohit Sharma</c:v>
                </c:pt>
                <c:pt idx="11">
                  <c:v>Shaheen Afridi</c:v>
                </c:pt>
                <c:pt idx="12">
                  <c:v>Shakib Al Hasan</c:v>
                </c:pt>
                <c:pt idx="13">
                  <c:v>Trent Boult</c:v>
                </c:pt>
                <c:pt idx="14">
                  <c:v>Virat Kohli</c:v>
                </c:pt>
              </c:strCache>
            </c:strRef>
          </c:cat>
          <c:val>
            <c:numRef>
              <c:f>Sheet1!$H$19:$H$34</c:f>
              <c:numCache>
                <c:formatCode>#,##0.0</c:formatCode>
                <c:ptCount val="15"/>
                <c:pt idx="0">
                  <c:v>96.590909090909093</c:v>
                </c:pt>
                <c:pt idx="1">
                  <c:v>104.34782608695652</c:v>
                </c:pt>
                <c:pt idx="2">
                  <c:v>95.402298850574709</c:v>
                </c:pt>
                <c:pt idx="3">
                  <c:v>141.37931034482759</c:v>
                </c:pt>
                <c:pt idx="4">
                  <c:v>113.04347826086956</c:v>
                </c:pt>
                <c:pt idx="5">
                  <c:v>113.72549019607843</c:v>
                </c:pt>
                <c:pt idx="6">
                  <c:v>137.14285714285714</c:v>
                </c:pt>
                <c:pt idx="7">
                  <c:v>96.296296296296291</c:v>
                </c:pt>
                <c:pt idx="8">
                  <c:v>115.85365853658536</c:v>
                </c:pt>
                <c:pt idx="9">
                  <c:v>102.49999999999999</c:v>
                </c:pt>
                <c:pt idx="10">
                  <c:v>98.165137614678898</c:v>
                </c:pt>
                <c:pt idx="11">
                  <c:v>150</c:v>
                </c:pt>
                <c:pt idx="12">
                  <c:v>102.98507462686568</c:v>
                </c:pt>
                <c:pt idx="13">
                  <c:v>126.66666666666666</c:v>
                </c:pt>
                <c:pt idx="14">
                  <c:v>95.522388059701484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6-45EC-A42B-5086EAE2F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5373960"/>
        <c:axId val="1045376008"/>
      </c:lineChart>
      <c:catAx>
        <c:axId val="1045373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376008"/>
        <c:crosses val="autoZero"/>
        <c:auto val="1"/>
        <c:lblAlgn val="ctr"/>
        <c:lblOffset val="100"/>
        <c:noMultiLvlLbl val="0"/>
      </c:catAx>
      <c:valAx>
        <c:axId val="1045376008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373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[Cricket_Data_Insights_Project 2.xlsx]Sheet1!PivotTable5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Team-Wise Wicket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6609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6609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6609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6609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6609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6609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Sheet1!$I$21:$I$28</c:f>
              <c:strCache>
                <c:ptCount val="7"/>
                <c:pt idx="0">
                  <c:v>Australia</c:v>
                </c:pt>
                <c:pt idx="1">
                  <c:v>New Zealand</c:v>
                </c:pt>
                <c:pt idx="2">
                  <c:v>Bangladesh</c:v>
                </c:pt>
                <c:pt idx="3">
                  <c:v>Pakistan</c:v>
                </c:pt>
                <c:pt idx="4">
                  <c:v>South Africa</c:v>
                </c:pt>
                <c:pt idx="5">
                  <c:v>England</c:v>
                </c:pt>
                <c:pt idx="6">
                  <c:v>India</c:v>
                </c:pt>
              </c:strCache>
            </c:strRef>
          </c:cat>
          <c:val>
            <c:numRef>
              <c:f>Sheet1!$J$21:$J$28</c:f>
              <c:numCache>
                <c:formatCode>General</c:formatCode>
                <c:ptCount val="7"/>
                <c:pt idx="0">
                  <c:v>257</c:v>
                </c:pt>
                <c:pt idx="1">
                  <c:v>195</c:v>
                </c:pt>
                <c:pt idx="2">
                  <c:v>190</c:v>
                </c:pt>
                <c:pt idx="3">
                  <c:v>174</c:v>
                </c:pt>
                <c:pt idx="4">
                  <c:v>167</c:v>
                </c:pt>
                <c:pt idx="5">
                  <c:v>122</c:v>
                </c:pt>
                <c:pt idx="6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6-4088-8574-7029568E6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6509063"/>
        <c:axId val="1806511111"/>
      </c:barChart>
      <c:catAx>
        <c:axId val="1806509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511111"/>
        <c:crosses val="autoZero"/>
        <c:auto val="1"/>
        <c:lblAlgn val="ctr"/>
        <c:lblOffset val="100"/>
        <c:noMultiLvlLbl val="0"/>
      </c:catAx>
      <c:valAx>
        <c:axId val="1806511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509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[Cricket_Data_Insights_Project 2.xlsx]Sheet1!PivotTable8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Match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BACC6"/>
          </a:solidFill>
          <a:ln>
            <a:solidFill>
              <a:srgbClr val="31869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BACC6"/>
          </a:solidFill>
          <a:ln>
            <a:solidFill>
              <a:srgbClr val="31869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BACC6"/>
          </a:solidFill>
          <a:ln>
            <a:solidFill>
              <a:srgbClr val="31869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BACC6"/>
          </a:solidFill>
          <a:ln>
            <a:solidFill>
              <a:srgbClr val="31869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BACC6"/>
          </a:solidFill>
          <a:ln>
            <a:solidFill>
              <a:srgbClr val="31869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Sheet1!$J$37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BACC6"/>
            </a:solidFill>
            <a:ln>
              <a:solidFill>
                <a:srgbClr val="31869B"/>
              </a:solidFill>
              <a:prstDash val="solid"/>
            </a:ln>
            <a:effectLst/>
          </c:spPr>
          <c:invertIfNegative val="0"/>
          <c:cat>
            <c:strRef>
              <c:f>Sheet1!$I$38:$I$53</c:f>
              <c:strCache>
                <c:ptCount val="15"/>
                <c:pt idx="0">
                  <c:v>Glenn Maxwell</c:v>
                </c:pt>
                <c:pt idx="1">
                  <c:v>Kagiso Rabada</c:v>
                </c:pt>
                <c:pt idx="2">
                  <c:v>Hardik Pandya</c:v>
                </c:pt>
                <c:pt idx="3">
                  <c:v>Trent Boult</c:v>
                </c:pt>
                <c:pt idx="4">
                  <c:v>Jos Buttler</c:v>
                </c:pt>
                <c:pt idx="5">
                  <c:v>Rassie van der Dussen</c:v>
                </c:pt>
                <c:pt idx="6">
                  <c:v>Pat Cummins</c:v>
                </c:pt>
                <c:pt idx="7">
                  <c:v>Shaheen Afridi</c:v>
                </c:pt>
                <c:pt idx="8">
                  <c:v>Rohit Sharma</c:v>
                </c:pt>
                <c:pt idx="9">
                  <c:v>Kane Williamson</c:v>
                </c:pt>
                <c:pt idx="10">
                  <c:v>David Warner</c:v>
                </c:pt>
                <c:pt idx="11">
                  <c:v>Babar Azam</c:v>
                </c:pt>
                <c:pt idx="12">
                  <c:v>Ben Stokes</c:v>
                </c:pt>
                <c:pt idx="13">
                  <c:v>Virat Kohli</c:v>
                </c:pt>
                <c:pt idx="14">
                  <c:v>Shakib Al Hasan</c:v>
                </c:pt>
              </c:strCache>
            </c:strRef>
          </c:cat>
          <c:val>
            <c:numRef>
              <c:f>Sheet1!$J$38:$J$53</c:f>
              <c:numCache>
                <c:formatCode>General</c:formatCode>
                <c:ptCount val="15"/>
                <c:pt idx="0">
                  <c:v>32.258064516129032</c:v>
                </c:pt>
                <c:pt idx="1">
                  <c:v>32.869565217391305</c:v>
                </c:pt>
                <c:pt idx="2">
                  <c:v>34.166666666666664</c:v>
                </c:pt>
                <c:pt idx="3">
                  <c:v>34.833333333333336</c:v>
                </c:pt>
                <c:pt idx="4">
                  <c:v>36.5</c:v>
                </c:pt>
                <c:pt idx="5">
                  <c:v>37.636363636363633</c:v>
                </c:pt>
                <c:pt idx="6">
                  <c:v>39.615384615384613</c:v>
                </c:pt>
                <c:pt idx="7">
                  <c:v>40.526315789473685</c:v>
                </c:pt>
                <c:pt idx="8">
                  <c:v>43.44</c:v>
                </c:pt>
                <c:pt idx="9">
                  <c:v>43.888888888888886</c:v>
                </c:pt>
                <c:pt idx="10">
                  <c:v>46.333333333333336</c:v>
                </c:pt>
                <c:pt idx="11">
                  <c:v>47.666666666666664</c:v>
                </c:pt>
                <c:pt idx="12">
                  <c:v>48</c:v>
                </c:pt>
                <c:pt idx="13">
                  <c:v>48.679245283018865</c:v>
                </c:pt>
                <c:pt idx="14">
                  <c:v>50.952380952380949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A-4E9C-AF9F-1817916F0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999833095"/>
        <c:axId val="936776200"/>
      </c:barChart>
      <c:catAx>
        <c:axId val="1999833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776200"/>
        <c:crosses val="autoZero"/>
        <c:auto val="1"/>
        <c:lblAlgn val="ctr"/>
        <c:lblOffset val="100"/>
        <c:noMultiLvlLbl val="0"/>
      </c:catAx>
      <c:valAx>
        <c:axId val="936776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833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[Cricket_Data_Insights_Project 2.xlsx]Sheet1!PivotTable3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Team-Wise Runs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6365C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92CDDC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5B3D7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31869B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4F81BD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215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16365C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95B3D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31869B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4F81BD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215967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92CDDC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16365C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95B3D7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31869B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4F81BD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215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92CDDC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16365C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95B3D7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31869B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4F81BD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215967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92CDDC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16365C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95B3D7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31869B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4F81BD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215967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92CDD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Sheet1!$M$27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16365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E4-45F4-9E9D-B9D691EE9618}"/>
              </c:ext>
            </c:extLst>
          </c:dPt>
          <c:dPt>
            <c:idx val="1"/>
            <c:bubble3D val="0"/>
            <c:spPr>
              <a:solidFill>
                <a:srgbClr val="95B3D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E4-45F4-9E9D-B9D691EE9618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E4-45F4-9E9D-B9D691EE9618}"/>
              </c:ext>
            </c:extLst>
          </c:dPt>
          <c:dPt>
            <c:idx val="3"/>
            <c:bubble3D val="0"/>
            <c:spPr>
              <a:solidFill>
                <a:srgbClr val="31869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E4-45F4-9E9D-B9D691EE9618}"/>
              </c:ext>
            </c:extLst>
          </c:dPt>
          <c:dPt>
            <c:idx val="4"/>
            <c:bubble3D val="0"/>
            <c:spPr>
              <a:solidFill>
                <a:srgbClr val="4F81B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E4-45F4-9E9D-B9D691EE9618}"/>
              </c:ext>
            </c:extLst>
          </c:dPt>
          <c:dPt>
            <c:idx val="5"/>
            <c:bubble3D val="0"/>
            <c:spPr>
              <a:solidFill>
                <a:srgbClr val="215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4E4-45F4-9E9D-B9D691EE9618}"/>
              </c:ext>
            </c:extLst>
          </c:dPt>
          <c:dPt>
            <c:idx val="6"/>
            <c:bubble3D val="0"/>
            <c:spPr>
              <a:solidFill>
                <a:srgbClr val="92CDD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4E4-45F4-9E9D-B9D691EE96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Sheet1!$L$28:$L$35</c:f>
              <c:strCache>
                <c:ptCount val="7"/>
                <c:pt idx="0">
                  <c:v>Australia</c:v>
                </c:pt>
                <c:pt idx="1">
                  <c:v>Bangladesh</c:v>
                </c:pt>
                <c:pt idx="2">
                  <c:v>England</c:v>
                </c:pt>
                <c:pt idx="3">
                  <c:v>India</c:v>
                </c:pt>
                <c:pt idx="4">
                  <c:v>New Zealand</c:v>
                </c:pt>
                <c:pt idx="5">
                  <c:v>Pakistan</c:v>
                </c:pt>
                <c:pt idx="6">
                  <c:v>South Africa</c:v>
                </c:pt>
              </c:strCache>
            </c:strRef>
          </c:cat>
          <c:val>
            <c:numRef>
              <c:f>Sheet1!$M$28:$M$35</c:f>
              <c:numCache>
                <c:formatCode>General</c:formatCode>
                <c:ptCount val="7"/>
                <c:pt idx="0">
                  <c:v>13350</c:v>
                </c:pt>
                <c:pt idx="1">
                  <c:v>6900</c:v>
                </c:pt>
                <c:pt idx="2">
                  <c:v>10600</c:v>
                </c:pt>
                <c:pt idx="3">
                  <c:v>26100</c:v>
                </c:pt>
                <c:pt idx="4">
                  <c:v>8180</c:v>
                </c:pt>
                <c:pt idx="5">
                  <c:v>8950</c:v>
                </c:pt>
                <c:pt idx="6">
                  <c:v>4580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4E4-45F4-9E9D-B9D691EE9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[Cricket_Data_Insights_Project 2.xlsx]Sheet1!PivotTable15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All-Rounder Perfomance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4406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4406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771.6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24406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476.4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24406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1932.8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Sheet1!$O$18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4406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4406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F9-4F97-8862-D1CC1759E3F4}"/>
              </c:ext>
            </c:extLst>
          </c:dPt>
          <c:dPt>
            <c:idx val="1"/>
            <c:invertIfNegative val="0"/>
            <c:bubble3D val="0"/>
            <c:spPr>
              <a:solidFill>
                <a:srgbClr val="24406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F9-4F97-8862-D1CC1759E3F4}"/>
              </c:ext>
            </c:extLst>
          </c:dPt>
          <c:dPt>
            <c:idx val="3"/>
            <c:invertIfNegative val="0"/>
            <c:bubble3D val="0"/>
            <c:spPr>
              <a:solidFill>
                <a:srgbClr val="24406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F9-4F97-8862-D1CC1759E3F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476.4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9F9-4F97-8862-D1CC1759E3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771.6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9F9-4F97-8862-D1CC1759E3F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1932.8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9F9-4F97-8862-D1CC1759E3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Sheet1!$M$19:$N$22</c:f>
              <c:multiLvlStrCache>
                <c:ptCount val="4"/>
                <c:lvl>
                  <c:pt idx="0">
                    <c:v>Glenn Maxwell</c:v>
                  </c:pt>
                  <c:pt idx="1">
                    <c:v>Hardik Pandya</c:v>
                  </c:pt>
                  <c:pt idx="2">
                    <c:v>Ben Stokes</c:v>
                  </c:pt>
                  <c:pt idx="3">
                    <c:v>Shakib Al Hasan</c:v>
                  </c:pt>
                </c:lvl>
                <c:lvl>
                  <c:pt idx="0">
                    <c:v>All-rounder</c:v>
                  </c:pt>
                </c:lvl>
              </c:multiLvlStrCache>
            </c:multiLvlStrRef>
          </c:cat>
          <c:val>
            <c:numRef>
              <c:f>Sheet1!$O$19:$O$22</c:f>
              <c:numCache>
                <c:formatCode>General</c:formatCode>
                <c:ptCount val="4"/>
                <c:pt idx="0">
                  <c:v>476.45161290322579</c:v>
                </c:pt>
                <c:pt idx="1">
                  <c:v>771.66666666666663</c:v>
                </c:pt>
                <c:pt idx="2">
                  <c:v>1232</c:v>
                </c:pt>
                <c:pt idx="3">
                  <c:v>1932.8571428571429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31-4CF7-AFE1-A06709564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025672"/>
        <c:axId val="47048712"/>
      </c:barChart>
      <c:catAx>
        <c:axId val="47025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48712"/>
        <c:crosses val="autoZero"/>
        <c:auto val="1"/>
        <c:lblAlgn val="ctr"/>
        <c:lblOffset val="100"/>
        <c:noMultiLvlLbl val="0"/>
      </c:catAx>
      <c:valAx>
        <c:axId val="470487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2567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[Cricket_Data_Insights_Project 2.xlsx]Sheet1!PivotTable6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Runs Vs Wickets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1596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CDDC"/>
          </a:solidFill>
          <a:ln>
            <a:solidFill>
              <a:srgbClr val="DA969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1596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CDDC"/>
          </a:solidFill>
          <a:ln>
            <a:solidFill>
              <a:srgbClr val="DA969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1596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CDDC"/>
          </a:solidFill>
          <a:ln>
            <a:solidFill>
              <a:srgbClr val="DA969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1596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2CDDC"/>
          </a:solidFill>
          <a:ln>
            <a:solidFill>
              <a:srgbClr val="DA969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1596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92CDDC"/>
          </a:solidFill>
          <a:ln>
            <a:solidFill>
              <a:srgbClr val="DA969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Sum of Runs</c:v>
                </c:pt>
              </c:strCache>
            </c:strRef>
          </c:tx>
          <c:spPr>
            <a:solidFill>
              <a:srgbClr val="215967"/>
            </a:solidFill>
            <a:ln>
              <a:noFill/>
            </a:ln>
            <a:effectLst/>
          </c:spPr>
          <c:invertIfNegative val="0"/>
          <c:cat>
            <c:strRef>
              <c:f>Sheet1!$A$37:$A$44</c:f>
              <c:strCache>
                <c:ptCount val="7"/>
                <c:pt idx="0">
                  <c:v>India</c:v>
                </c:pt>
                <c:pt idx="1">
                  <c:v>Australia</c:v>
                </c:pt>
                <c:pt idx="2">
                  <c:v>England</c:v>
                </c:pt>
                <c:pt idx="3">
                  <c:v>Pakistan</c:v>
                </c:pt>
                <c:pt idx="4">
                  <c:v>New Zealand</c:v>
                </c:pt>
                <c:pt idx="5">
                  <c:v>Bangladesh</c:v>
                </c:pt>
                <c:pt idx="6">
                  <c:v>South Africa</c:v>
                </c:pt>
              </c:strCache>
            </c:strRef>
          </c:cat>
          <c:val>
            <c:numRef>
              <c:f>Sheet1!$B$37:$B$44</c:f>
              <c:numCache>
                <c:formatCode>General</c:formatCode>
                <c:ptCount val="7"/>
                <c:pt idx="0">
                  <c:v>26100</c:v>
                </c:pt>
                <c:pt idx="1">
                  <c:v>13350</c:v>
                </c:pt>
                <c:pt idx="2">
                  <c:v>10600</c:v>
                </c:pt>
                <c:pt idx="3">
                  <c:v>8950</c:v>
                </c:pt>
                <c:pt idx="4">
                  <c:v>8180</c:v>
                </c:pt>
                <c:pt idx="5">
                  <c:v>6900</c:v>
                </c:pt>
                <c:pt idx="6">
                  <c:v>4580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1-4BD0-A5B3-6389A38F5EFA}"/>
            </c:ext>
          </c:extLst>
        </c:ser>
        <c:ser>
          <c:idx val="1"/>
          <c:order val="1"/>
          <c:tx>
            <c:strRef>
              <c:f>Sheet1!$C$36</c:f>
              <c:strCache>
                <c:ptCount val="1"/>
                <c:pt idx="0">
                  <c:v>Sum of Wickets</c:v>
                </c:pt>
              </c:strCache>
            </c:strRef>
          </c:tx>
          <c:spPr>
            <a:solidFill>
              <a:srgbClr val="92CDDC"/>
            </a:solidFill>
            <a:ln>
              <a:solidFill>
                <a:srgbClr val="DA9694"/>
              </a:solidFill>
              <a:prstDash val="solid"/>
            </a:ln>
            <a:effectLst/>
          </c:spPr>
          <c:invertIfNegative val="0"/>
          <c:cat>
            <c:strRef>
              <c:f>Sheet1!$A$37:$A$44</c:f>
              <c:strCache>
                <c:ptCount val="7"/>
                <c:pt idx="0">
                  <c:v>India</c:v>
                </c:pt>
                <c:pt idx="1">
                  <c:v>Australia</c:v>
                </c:pt>
                <c:pt idx="2">
                  <c:v>England</c:v>
                </c:pt>
                <c:pt idx="3">
                  <c:v>Pakistan</c:v>
                </c:pt>
                <c:pt idx="4">
                  <c:v>New Zealand</c:v>
                </c:pt>
                <c:pt idx="5">
                  <c:v>Bangladesh</c:v>
                </c:pt>
                <c:pt idx="6">
                  <c:v>South Africa</c:v>
                </c:pt>
              </c:strCache>
            </c:strRef>
          </c:cat>
          <c:val>
            <c:numRef>
              <c:f>Sheet1!$C$37:$C$44</c:f>
              <c:numCache>
                <c:formatCode>General</c:formatCode>
                <c:ptCount val="7"/>
                <c:pt idx="0">
                  <c:v>88</c:v>
                </c:pt>
                <c:pt idx="1">
                  <c:v>257</c:v>
                </c:pt>
                <c:pt idx="2">
                  <c:v>122</c:v>
                </c:pt>
                <c:pt idx="3">
                  <c:v>174</c:v>
                </c:pt>
                <c:pt idx="4">
                  <c:v>195</c:v>
                </c:pt>
                <c:pt idx="5">
                  <c:v>190</c:v>
                </c:pt>
                <c:pt idx="6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41-4BD0-A5B3-6389A38F5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overlap val="100"/>
        <c:axId val="1746160135"/>
        <c:axId val="1838192647"/>
      </c:barChart>
      <c:catAx>
        <c:axId val="1746160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192647"/>
        <c:crosses val="autoZero"/>
        <c:auto val="1"/>
        <c:lblAlgn val="ctr"/>
        <c:lblOffset val="100"/>
        <c:noMultiLvlLbl val="0"/>
      </c:catAx>
      <c:valAx>
        <c:axId val="183819264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60135"/>
        <c:crosses val="autoZero"/>
        <c:crossBetween val="between"/>
      </c:valAx>
      <c:dTable>
        <c:showHorzBorder val="0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[Cricket_Data_Insights_Project 2.xlsx]Sheet1!PivotTable6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Runs Vs Wickets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1596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CDDC"/>
          </a:solidFill>
          <a:ln>
            <a:solidFill>
              <a:srgbClr val="DA969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Sum of Runs</c:v>
                </c:pt>
              </c:strCache>
            </c:strRef>
          </c:tx>
          <c:spPr>
            <a:solidFill>
              <a:srgbClr val="215967"/>
            </a:solidFill>
            <a:ln>
              <a:noFill/>
            </a:ln>
            <a:effectLst/>
          </c:spPr>
          <c:invertIfNegative val="0"/>
          <c:cat>
            <c:strRef>
              <c:f>Sheet1!$A$37:$A$44</c:f>
              <c:strCache>
                <c:ptCount val="7"/>
                <c:pt idx="0">
                  <c:v>India</c:v>
                </c:pt>
                <c:pt idx="1">
                  <c:v>Australia</c:v>
                </c:pt>
                <c:pt idx="2">
                  <c:v>England</c:v>
                </c:pt>
                <c:pt idx="3">
                  <c:v>Pakistan</c:v>
                </c:pt>
                <c:pt idx="4">
                  <c:v>New Zealand</c:v>
                </c:pt>
                <c:pt idx="5">
                  <c:v>Bangladesh</c:v>
                </c:pt>
                <c:pt idx="6">
                  <c:v>South Africa</c:v>
                </c:pt>
              </c:strCache>
            </c:strRef>
          </c:cat>
          <c:val>
            <c:numRef>
              <c:f>Sheet1!$B$37:$B$44</c:f>
              <c:numCache>
                <c:formatCode>General</c:formatCode>
                <c:ptCount val="7"/>
                <c:pt idx="0">
                  <c:v>26100</c:v>
                </c:pt>
                <c:pt idx="1">
                  <c:v>13350</c:v>
                </c:pt>
                <c:pt idx="2">
                  <c:v>10600</c:v>
                </c:pt>
                <c:pt idx="3">
                  <c:v>8950</c:v>
                </c:pt>
                <c:pt idx="4">
                  <c:v>8180</c:v>
                </c:pt>
                <c:pt idx="5">
                  <c:v>6900</c:v>
                </c:pt>
                <c:pt idx="6">
                  <c:v>4580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2-4BD2-8EBB-4323BE147FA8}"/>
            </c:ext>
          </c:extLst>
        </c:ser>
        <c:ser>
          <c:idx val="1"/>
          <c:order val="1"/>
          <c:tx>
            <c:strRef>
              <c:f>Sheet1!$C$36</c:f>
              <c:strCache>
                <c:ptCount val="1"/>
                <c:pt idx="0">
                  <c:v>Sum of Wickets</c:v>
                </c:pt>
              </c:strCache>
            </c:strRef>
          </c:tx>
          <c:spPr>
            <a:solidFill>
              <a:srgbClr val="92CDDC"/>
            </a:solidFill>
            <a:ln>
              <a:solidFill>
                <a:srgbClr val="DA9694"/>
              </a:solidFill>
              <a:prstDash val="solid"/>
            </a:ln>
            <a:effectLst/>
          </c:spPr>
          <c:invertIfNegative val="0"/>
          <c:cat>
            <c:strRef>
              <c:f>Sheet1!$A$37:$A$44</c:f>
              <c:strCache>
                <c:ptCount val="7"/>
                <c:pt idx="0">
                  <c:v>India</c:v>
                </c:pt>
                <c:pt idx="1">
                  <c:v>Australia</c:v>
                </c:pt>
                <c:pt idx="2">
                  <c:v>England</c:v>
                </c:pt>
                <c:pt idx="3">
                  <c:v>Pakistan</c:v>
                </c:pt>
                <c:pt idx="4">
                  <c:v>New Zealand</c:v>
                </c:pt>
                <c:pt idx="5">
                  <c:v>Bangladesh</c:v>
                </c:pt>
                <c:pt idx="6">
                  <c:v>South Africa</c:v>
                </c:pt>
              </c:strCache>
            </c:strRef>
          </c:cat>
          <c:val>
            <c:numRef>
              <c:f>Sheet1!$C$37:$C$44</c:f>
              <c:numCache>
                <c:formatCode>General</c:formatCode>
                <c:ptCount val="7"/>
                <c:pt idx="0">
                  <c:v>88</c:v>
                </c:pt>
                <c:pt idx="1">
                  <c:v>257</c:v>
                </c:pt>
                <c:pt idx="2">
                  <c:v>122</c:v>
                </c:pt>
                <c:pt idx="3">
                  <c:v>174</c:v>
                </c:pt>
                <c:pt idx="4">
                  <c:v>195</c:v>
                </c:pt>
                <c:pt idx="5">
                  <c:v>190</c:v>
                </c:pt>
                <c:pt idx="6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A2-4BD2-8EBB-4323BE147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overlap val="100"/>
        <c:axId val="1746160135"/>
        <c:axId val="1838192647"/>
      </c:barChart>
      <c:catAx>
        <c:axId val="1746160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192647"/>
        <c:crosses val="autoZero"/>
        <c:auto val="1"/>
        <c:lblAlgn val="ctr"/>
        <c:lblOffset val="100"/>
        <c:noMultiLvlLbl val="0"/>
      </c:catAx>
      <c:valAx>
        <c:axId val="1838192647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60135"/>
        <c:crosses val="autoZero"/>
        <c:crossBetween val="between"/>
      </c:valAx>
      <c:dTable>
        <c:showHorzBorder val="0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4</xdr:row>
      <xdr:rowOff>123825</xdr:rowOff>
    </xdr:from>
    <xdr:to>
      <xdr:col>5</xdr:col>
      <xdr:colOff>1381125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AF99D7-5ABA-41AD-AC1D-F1DD65BB5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</xdr:row>
      <xdr:rowOff>76200</xdr:rowOff>
    </xdr:from>
    <xdr:to>
      <xdr:col>3</xdr:col>
      <xdr:colOff>0</xdr:colOff>
      <xdr:row>20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4D8062-F326-4AE2-8FEA-661B7CC5F3C7}"/>
            </a:ext>
            <a:ext uri="{147F2762-F138-4A5C-976F-8EAC2B608ADB}">
              <a16:predDERef xmlns:a16="http://schemas.microsoft.com/office/drawing/2014/main" pred="{DDAF99D7-5ABA-41AD-AC1D-F1DD65BB5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866775</xdr:colOff>
      <xdr:row>21</xdr:row>
      <xdr:rowOff>66675</xdr:rowOff>
    </xdr:from>
    <xdr:to>
      <xdr:col>3</xdr:col>
      <xdr:colOff>9525</xdr:colOff>
      <xdr:row>35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AC7711-8DCA-4427-BCF4-B382D6CD48A9}"/>
            </a:ext>
            <a:ext uri="{147F2762-F138-4A5C-976F-8EAC2B608ADB}">
              <a16:predDERef xmlns:a16="http://schemas.microsoft.com/office/drawing/2014/main" pred="{E54D8062-F326-4AE2-8FEA-661B7CC5F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1466850</xdr:colOff>
      <xdr:row>4</xdr:row>
      <xdr:rowOff>142875</xdr:rowOff>
    </xdr:from>
    <xdr:to>
      <xdr:col>9</xdr:col>
      <xdr:colOff>47625</xdr:colOff>
      <xdr:row>20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E6A67F-D560-4867-BFB6-E8CE3444416F}"/>
            </a:ext>
            <a:ext uri="{147F2762-F138-4A5C-976F-8EAC2B608ADB}">
              <a16:predDERef xmlns:a16="http://schemas.microsoft.com/office/drawing/2014/main" pred="{9EAC7711-8DCA-4427-BCF4-B382D6CD4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819150</xdr:colOff>
      <xdr:row>36</xdr:row>
      <xdr:rowOff>104775</xdr:rowOff>
    </xdr:from>
    <xdr:to>
      <xdr:col>3</xdr:col>
      <xdr:colOff>38100</xdr:colOff>
      <xdr:row>51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F770B5-05B5-4EED-B1B1-825109B95AC1}"/>
            </a:ext>
            <a:ext uri="{147F2762-F138-4A5C-976F-8EAC2B608ADB}">
              <a16:predDERef xmlns:a16="http://schemas.microsoft.com/office/drawing/2014/main" pred="{6CE6A67F-D560-4867-BFB6-E8CE34444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104775</xdr:colOff>
      <xdr:row>21</xdr:row>
      <xdr:rowOff>47625</xdr:rowOff>
    </xdr:from>
    <xdr:to>
      <xdr:col>5</xdr:col>
      <xdr:colOff>1381125</xdr:colOff>
      <xdr:row>36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F1AD7E-12C6-4293-87BA-C6976E6FB41B}"/>
            </a:ext>
            <a:ext uri="{147F2762-F138-4A5C-976F-8EAC2B608ADB}">
              <a16:predDERef xmlns:a16="http://schemas.microsoft.com/office/drawing/2014/main" pred="{99F770B5-05B5-4EED-B1B1-825109B95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36</xdr:row>
      <xdr:rowOff>95250</xdr:rowOff>
    </xdr:from>
    <xdr:to>
      <xdr:col>5</xdr:col>
      <xdr:colOff>1371600</xdr:colOff>
      <xdr:row>51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729F8D8-4846-4DE5-A5F6-FB12C80C2129}"/>
            </a:ext>
            <a:ext uri="{147F2762-F138-4A5C-976F-8EAC2B608ADB}">
              <a16:predDERef xmlns:a16="http://schemas.microsoft.com/office/drawing/2014/main" pred="{00F1AD7E-12C6-4293-87BA-C6976E6FB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1466850</xdr:colOff>
      <xdr:row>21</xdr:row>
      <xdr:rowOff>47625</xdr:rowOff>
    </xdr:from>
    <xdr:to>
      <xdr:col>9</xdr:col>
      <xdr:colOff>66675</xdr:colOff>
      <xdr:row>36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002A181-7D29-4BAD-9483-545901E4486C}"/>
            </a:ext>
            <a:ext uri="{147F2762-F138-4A5C-976F-8EAC2B608ADB}">
              <a16:predDERef xmlns:a16="http://schemas.microsoft.com/office/drawing/2014/main" pred="{7729F8D8-4846-4DE5-A5F6-FB12C80C2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6</xdr:col>
      <xdr:colOff>19050</xdr:colOff>
      <xdr:row>36</xdr:row>
      <xdr:rowOff>114300</xdr:rowOff>
    </xdr:from>
    <xdr:to>
      <xdr:col>8</xdr:col>
      <xdr:colOff>9525</xdr:colOff>
      <xdr:row>51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Player Name">
              <a:extLst>
                <a:ext uri="{FF2B5EF4-FFF2-40B4-BE49-F238E27FC236}">
                  <a16:creationId xmlns:a16="http://schemas.microsoft.com/office/drawing/2014/main" id="{48D9B5BB-DD46-7B15-9528-83FEB82B2184}"/>
                </a:ext>
                <a:ext uri="{147F2762-F138-4A5C-976F-8EAC2B608ADB}">
                  <a16:predDERef xmlns:a16="http://schemas.microsoft.com/office/drawing/2014/main" pred="{D002A181-7D29-4BAD-9483-545901E448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yer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0" y="7505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142875</xdr:colOff>
      <xdr:row>36</xdr:row>
      <xdr:rowOff>114300</xdr:rowOff>
    </xdr:from>
    <xdr:to>
      <xdr:col>9</xdr:col>
      <xdr:colOff>85725</xdr:colOff>
      <xdr:row>45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Team">
              <a:extLst>
                <a:ext uri="{FF2B5EF4-FFF2-40B4-BE49-F238E27FC236}">
                  <a16:creationId xmlns:a16="http://schemas.microsoft.com/office/drawing/2014/main" id="{F9429B98-1C1F-DEE2-AC76-36F9622836E7}"/>
                </a:ext>
                <a:ext uri="{147F2762-F138-4A5C-976F-8EAC2B608ADB}">
                  <a16:predDERef xmlns:a16="http://schemas.microsoft.com/office/drawing/2014/main" pred="{48D9B5BB-DD46-7B15-9528-83FEB82B21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a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43550" y="7715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142875</xdr:colOff>
      <xdr:row>45</xdr:row>
      <xdr:rowOff>104775</xdr:rowOff>
    </xdr:from>
    <xdr:to>
      <xdr:col>9</xdr:col>
      <xdr:colOff>95250</xdr:colOff>
      <xdr:row>51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Role">
              <a:extLst>
                <a:ext uri="{FF2B5EF4-FFF2-40B4-BE49-F238E27FC236}">
                  <a16:creationId xmlns:a16="http://schemas.microsoft.com/office/drawing/2014/main" id="{8014D2AE-998B-F3FA-ABE4-8C542DE3B5D8}"/>
                </a:ext>
                <a:ext uri="{147F2762-F138-4A5C-976F-8EAC2B608ADB}">
                  <a16:predDERef xmlns:a16="http://schemas.microsoft.com/office/drawing/2014/main" pred="{F9429B98-1C1F-DEE2-AC76-36F9622836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6425" y="9696450"/>
              <a:ext cx="1666875" cy="1123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</xdr:colOff>
      <xdr:row>23</xdr:row>
      <xdr:rowOff>47625</xdr:rowOff>
    </xdr:from>
    <xdr:to>
      <xdr:col>23</xdr:col>
      <xdr:colOff>276225</xdr:colOff>
      <xdr:row>41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3D2DB0-C706-5DAE-7BEF-1C489F97714E}"/>
            </a:ext>
            <a:ext uri="{147F2762-F138-4A5C-976F-8EAC2B608ADB}">
              <a16:predDERef xmlns:a16="http://schemas.microsoft.com/office/drawing/2014/main" pred="{A4AF86D9-905A-627B-D9A1-3568F7B50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2.868057060186" createdVersion="8" refreshedVersion="8" minRefreshableVersion="3" recordCount="15" xr:uid="{4F4B9413-BA95-4ECB-809D-9E03B99EAC0A}">
  <cacheSource type="worksheet">
    <worksheetSource name="Table1"/>
  </cacheSource>
  <cacheFields count="17">
    <cacheField name="Player Name" numFmtId="0">
      <sharedItems count="15">
        <s v="Pat Cummins"/>
        <s v="Shakib Al Hasan"/>
        <s v="Trent Boult"/>
        <s v="Shaheen Afridi"/>
        <s v="Kagiso Rabada"/>
        <s v="Ben Stokes"/>
        <s v="Hardik Pandya"/>
        <s v="Glenn Maxwell"/>
        <s v="Rohit Sharma"/>
        <s v="Virat Kohli"/>
        <s v="Kane Williamson"/>
        <s v="Babar Azam"/>
        <s v="David Warner"/>
        <s v="Rassie van der Dussen"/>
        <s v="Jos Buttler"/>
      </sharedItems>
    </cacheField>
    <cacheField name="Team" numFmtId="0">
      <sharedItems count="7">
        <s v="Australia"/>
        <s v="Bangladesh"/>
        <s v="New Zealand"/>
        <s v="Pakistan"/>
        <s v="South Africa"/>
        <s v="England"/>
        <s v="India"/>
      </sharedItems>
    </cacheField>
    <cacheField name="Matches" numFmtId="0">
      <sharedItems containsSemiMixedTypes="0" containsString="0" containsNumber="1" containsInteger="1" minValue="95" maxValue="265"/>
    </cacheField>
    <cacheField name="Innings" numFmtId="0">
      <sharedItems containsSemiMixedTypes="0" containsString="0" containsNumber="1" containsInteger="1" minValue="40" maxValue="250"/>
    </cacheField>
    <cacheField name="Not Outs" numFmtId="0">
      <sharedItems containsSemiMixedTypes="0" containsString="0" containsNumber="1" containsInteger="1" minValue="10" maxValue="40"/>
    </cacheField>
    <cacheField name="Runs" numFmtId="0">
      <sharedItems containsSemiMixedTypes="0" containsString="0" containsNumber="1" containsInteger="1" minValue="380" maxValue="12800"/>
    </cacheField>
    <cacheField name="Balls Faced" numFmtId="0">
      <sharedItems containsSemiMixedTypes="0" containsString="0" containsNumber="1" containsInteger="1" minValue="300" maxValue="13400"/>
    </cacheField>
    <cacheField name="Fours" numFmtId="0">
      <sharedItems containsSemiMixedTypes="0" containsString="0" containsNumber="1" containsInteger="1" minValue="25" maxValue="1160"/>
    </cacheField>
    <cacheField name="Sixes" numFmtId="0">
      <sharedItems containsSemiMixedTypes="0" containsString="0" containsNumber="1" containsInteger="1" minValue="8" maxValue="250"/>
    </cacheField>
    <cacheField name="Wickets" numFmtId="0">
      <sharedItems containsSemiMixedTypes="0" containsString="0" containsNumber="1" containsInteger="1" minValue="2" maxValue="210"/>
    </cacheField>
    <cacheField name="Overs Bowled" numFmtId="0">
      <sharedItems containsSemiMixedTypes="0" containsString="0" containsNumber="1" containsInteger="1" minValue="5" maxValue="980"/>
    </cacheField>
    <cacheField name="Runs Conceded" numFmtId="0">
      <sharedItems containsSemiMixedTypes="0" containsString="0" containsNumber="1" containsInteger="1" minValue="40" maxValue="4400"/>
    </cacheField>
    <cacheField name="Role" numFmtId="0">
      <sharedItems count="3">
        <s v="Bowler"/>
        <s v="All-rounder"/>
        <s v="Batsman"/>
      </sharedItems>
    </cacheField>
    <cacheField name="Year" numFmtId="0">
      <sharedItems containsSemiMixedTypes="0" containsString="0" containsNumber="1" containsInteger="1" minValue="2023" maxValue="2023"/>
    </cacheField>
    <cacheField name="strike rate" numFmtId="0">
      <sharedItems containsSemiMixedTypes="0" containsString="0" containsNumber="1" minValue="95.402298850574709" maxValue="150"/>
    </cacheField>
    <cacheField name="all rounder" numFmtId="0">
      <sharedItems containsSemiMixedTypes="0" containsString="0" containsNumber="1" minValue="56.25" maxValue="2107.3076923076924"/>
    </cacheField>
    <cacheField name="match efficiency" numFmtId="0">
      <sharedItems containsSemiMixedTypes="0" containsString="0" containsNumber="1" minValue="32.258064516129032" maxValue="50.952380952380949"/>
    </cacheField>
  </cacheFields>
  <extLst>
    <ext xmlns:x14="http://schemas.microsoft.com/office/spreadsheetml/2009/9/main" uri="{725AE2AE-9491-48be-B2B4-4EB974FC3084}">
      <x14:pivotCacheDefinition pivotCacheId="12684357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130"/>
    <n v="80"/>
    <n v="30"/>
    <n v="950"/>
    <n v="820"/>
    <n v="60"/>
    <n v="25"/>
    <n v="210"/>
    <n v="980"/>
    <n v="4400"/>
    <x v="0"/>
    <n v="2023"/>
    <n v="115.85365853658536"/>
    <n v="2107.3076923076924"/>
    <n v="39.615384615384613"/>
  </r>
  <r>
    <x v="1"/>
    <x v="1"/>
    <n v="210"/>
    <n v="190"/>
    <n v="40"/>
    <n v="6900"/>
    <n v="6700"/>
    <n v="560"/>
    <n v="90"/>
    <n v="190"/>
    <n v="960"/>
    <n v="4200"/>
    <x v="1"/>
    <n v="2023"/>
    <n v="102.98507462686568"/>
    <n v="1932.8571428571429"/>
    <n v="50.952380952380949"/>
  </r>
  <r>
    <x v="2"/>
    <x v="2"/>
    <n v="120"/>
    <n v="50"/>
    <n v="20"/>
    <n v="380"/>
    <n v="300"/>
    <n v="25"/>
    <n v="8"/>
    <n v="190"/>
    <n v="950"/>
    <n v="4200"/>
    <x v="0"/>
    <n v="2023"/>
    <n v="126.66666666666666"/>
    <n v="1903.1666666666667"/>
    <n v="34.833333333333336"/>
  </r>
  <r>
    <x v="3"/>
    <x v="3"/>
    <n v="95"/>
    <n v="40"/>
    <n v="10"/>
    <n v="450"/>
    <n v="300"/>
    <n v="30"/>
    <n v="10"/>
    <n v="170"/>
    <n v="850"/>
    <n v="4100"/>
    <x v="0"/>
    <n v="2023"/>
    <n v="150"/>
    <n v="1704.7368421052631"/>
    <n v="40.526315789473685"/>
  </r>
  <r>
    <x v="4"/>
    <x v="4"/>
    <n v="115"/>
    <n v="55"/>
    <n v="15"/>
    <n v="480"/>
    <n v="350"/>
    <n v="28"/>
    <n v="10"/>
    <n v="165"/>
    <n v="860"/>
    <n v="4000"/>
    <x v="0"/>
    <n v="2023"/>
    <n v="137.14285714285714"/>
    <n v="1654.1739130434783"/>
    <n v="32.869565217391305"/>
  </r>
  <r>
    <x v="5"/>
    <x v="5"/>
    <n v="150"/>
    <n v="140"/>
    <n v="25"/>
    <n v="4800"/>
    <n v="4600"/>
    <n v="340"/>
    <n v="120"/>
    <n v="120"/>
    <n v="740"/>
    <n v="3900"/>
    <x v="1"/>
    <n v="2023"/>
    <n v="104.34782608695652"/>
    <n v="1232"/>
    <n v="48"/>
  </r>
  <r>
    <x v="6"/>
    <x v="6"/>
    <n v="120"/>
    <n v="100"/>
    <n v="20"/>
    <n v="2600"/>
    <n v="2300"/>
    <n v="180"/>
    <n v="85"/>
    <n v="75"/>
    <n v="400"/>
    <n v="3200"/>
    <x v="1"/>
    <n v="2023"/>
    <n v="113.04347826086956"/>
    <n v="771.66666666666663"/>
    <n v="34.166666666666664"/>
  </r>
  <r>
    <x v="7"/>
    <x v="0"/>
    <n v="155"/>
    <n v="145"/>
    <n v="35"/>
    <n v="4100"/>
    <n v="2900"/>
    <n v="370"/>
    <n v="190"/>
    <n v="45"/>
    <n v="260"/>
    <n v="2200"/>
    <x v="1"/>
    <n v="2023"/>
    <n v="141.37931034482759"/>
    <n v="476.45161290322579"/>
    <n v="32.258064516129032"/>
  </r>
  <r>
    <x v="8"/>
    <x v="6"/>
    <n v="250"/>
    <n v="240"/>
    <n v="25"/>
    <n v="10700"/>
    <n v="10900"/>
    <n v="1020"/>
    <n v="250"/>
    <n v="8"/>
    <n v="25"/>
    <n v="130"/>
    <x v="2"/>
    <n v="2023"/>
    <n v="98.165137614678898"/>
    <n v="122.8"/>
    <n v="43.44"/>
  </r>
  <r>
    <x v="9"/>
    <x v="6"/>
    <n v="265"/>
    <n v="250"/>
    <n v="35"/>
    <n v="12800"/>
    <n v="13400"/>
    <n v="1160"/>
    <n v="130"/>
    <n v="5"/>
    <n v="12"/>
    <n v="60"/>
    <x v="2"/>
    <n v="2023"/>
    <n v="95.522388059701484"/>
    <n v="98.301886792452834"/>
    <n v="48.679245283018865"/>
  </r>
  <r>
    <x v="10"/>
    <x v="2"/>
    <n v="180"/>
    <n v="175"/>
    <n v="30"/>
    <n v="7800"/>
    <n v="8100"/>
    <n v="640"/>
    <n v="85"/>
    <n v="5"/>
    <n v="25"/>
    <n v="160"/>
    <x v="2"/>
    <n v="2023"/>
    <n v="96.296296296296291"/>
    <n v="93.333333333333343"/>
    <n v="43.888888888888886"/>
  </r>
  <r>
    <x v="11"/>
    <x v="3"/>
    <n v="180"/>
    <n v="175"/>
    <n v="25"/>
    <n v="8500"/>
    <n v="8800"/>
    <n v="760"/>
    <n v="90"/>
    <n v="4"/>
    <n v="20"/>
    <n v="100"/>
    <x v="2"/>
    <n v="2023"/>
    <n v="96.590909090909093"/>
    <n v="87.222222222222229"/>
    <n v="47.666666666666664"/>
  </r>
  <r>
    <x v="12"/>
    <x v="0"/>
    <n v="180"/>
    <n v="175"/>
    <n v="20"/>
    <n v="8300"/>
    <n v="8700"/>
    <n v="880"/>
    <n v="120"/>
    <n v="2"/>
    <n v="10"/>
    <n v="80"/>
    <x v="2"/>
    <n v="2023"/>
    <n v="95.402298850574709"/>
    <n v="66.111111111111114"/>
    <n v="46.333333333333336"/>
  </r>
  <r>
    <x v="13"/>
    <x v="4"/>
    <n v="110"/>
    <n v="105"/>
    <n v="15"/>
    <n v="4100"/>
    <n v="4000"/>
    <n v="360"/>
    <n v="45"/>
    <n v="2"/>
    <n v="10"/>
    <n v="80"/>
    <x v="2"/>
    <n v="2023"/>
    <n v="102.49999999999999"/>
    <n v="57.272727272727273"/>
    <n v="37.636363636363633"/>
  </r>
  <r>
    <x v="14"/>
    <x v="5"/>
    <n v="160"/>
    <n v="150"/>
    <n v="20"/>
    <n v="5800"/>
    <n v="5100"/>
    <n v="560"/>
    <n v="220"/>
    <n v="2"/>
    <n v="5"/>
    <n v="40"/>
    <x v="2"/>
    <n v="2023"/>
    <n v="113.72549019607843"/>
    <n v="56.25"/>
    <n v="36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10128-0670-45C1-906D-E3A7FAA38755}" name="PivotTable2" cacheId="12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57:J63" firstHeaderRow="1" firstDataRow="1" firstDataCol="1"/>
  <pivotFields count="17">
    <pivotField axis="axisRow" compact="0" outline="0" showAll="0" measureFilter="1" sortType="ascending">
      <items count="16">
        <item x="11"/>
        <item x="5"/>
        <item x="12"/>
        <item x="7"/>
        <item x="6"/>
        <item x="14"/>
        <item x="4"/>
        <item x="10"/>
        <item x="0"/>
        <item x="13"/>
        <item x="8"/>
        <item x="3"/>
        <item x="1"/>
        <item x="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8">
        <item x="0"/>
        <item x="1"/>
        <item x="5"/>
        <item x="6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 v="6"/>
    </i>
    <i>
      <x v="11"/>
    </i>
    <i>
      <x v="12"/>
    </i>
    <i>
      <x v="13"/>
    </i>
    <i>
      <x v="8"/>
    </i>
    <i t="grand">
      <x/>
    </i>
  </rowItems>
  <colItems count="1">
    <i/>
  </colItems>
  <dataFields count="1">
    <dataField name="Sum of Wickets" fld="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42EC1-49C2-42D2-AA8C-784DFFC9A943}" name="PivotTable5" cacheId="12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20:J28" firstHeaderRow="1" firstDataRow="1" firstDataCol="1"/>
  <pivotFields count="17">
    <pivotField compact="0" outline="0" showAll="0">
      <items count="16">
        <item x="11"/>
        <item x="5"/>
        <item x="12"/>
        <item x="7"/>
        <item x="6"/>
        <item x="14"/>
        <item x="4"/>
        <item x="10"/>
        <item x="0"/>
        <item x="13"/>
        <item x="8"/>
        <item x="3"/>
        <item x="1"/>
        <item x="2"/>
        <item x="9"/>
        <item t="default"/>
      </items>
    </pivotField>
    <pivotField axis="axisRow" compact="0" outline="0" showAll="0" sortType="descending">
      <items count="8">
        <item x="4"/>
        <item x="3"/>
        <item x="2"/>
        <item x="6"/>
        <item x="5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8">
    <i>
      <x v="6"/>
    </i>
    <i>
      <x v="2"/>
    </i>
    <i>
      <x v="5"/>
    </i>
    <i>
      <x v="1"/>
    </i>
    <i>
      <x/>
    </i>
    <i>
      <x v="4"/>
    </i>
    <i>
      <x v="3"/>
    </i>
    <i t="grand">
      <x/>
    </i>
  </rowItems>
  <colItems count="1">
    <i/>
  </colItems>
  <dataFields count="1">
    <dataField name="Sum of Wickets" fld="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26F1C-001B-41D3-9DE3-57DD08A8753E}" name="PivotTable7" cacheId="12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6:G52" firstHeaderRow="0" firstDataRow="1" firstDataCol="1"/>
  <pivotFields count="17">
    <pivotField axis="axisRow" compact="0" outline="0" showAll="0">
      <items count="16">
        <item x="11"/>
        <item x="5"/>
        <item x="12"/>
        <item x="7"/>
        <item x="6"/>
        <item x="14"/>
        <item x="4"/>
        <item x="10"/>
        <item x="0"/>
        <item x="13"/>
        <item x="8"/>
        <item x="3"/>
        <item x="1"/>
        <item x="2"/>
        <item x="9"/>
        <item t="default"/>
      </items>
    </pivotField>
    <pivotField compact="0" outline="0" showAll="0">
      <items count="8">
        <item x="0"/>
        <item x="1"/>
        <item x="5"/>
        <item x="6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trike rate" fld="14" subtotal="average" baseField="0" baseItem="0"/>
    <dataField name="Sum of Run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92A1E-47F0-4E3E-9BDE-5365AA30E2DA}" name="PivotTable4" cacheId="1249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6">
  <location ref="G18:H34" firstHeaderRow="1" firstDataRow="1" firstDataCol="1"/>
  <pivotFields count="17">
    <pivotField axis="axisRow" compact="0" outline="0" showAll="0">
      <items count="16">
        <item x="11"/>
        <item x="5"/>
        <item x="12"/>
        <item x="7"/>
        <item x="6"/>
        <item x="14"/>
        <item x="4"/>
        <item x="10"/>
        <item x="0"/>
        <item x="13"/>
        <item x="8"/>
        <item x="3"/>
        <item x="1"/>
        <item x="2"/>
        <item x="9"/>
        <item t="default"/>
      </items>
    </pivotField>
    <pivotField compact="0" outline="0" showAll="0">
      <items count="8">
        <item x="0"/>
        <item x="1"/>
        <item x="5"/>
        <item x="6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strike rate" fld="14" subtotal="average" baseField="0" baseItem="0" numFmtId="165"/>
  </dataFields>
  <formats count="2">
    <format dxfId="11">
      <pivotArea outline="0" fieldPosition="0">
        <references count="1">
          <reference field="0" count="1" selected="0">
            <x v="0"/>
          </reference>
        </references>
      </pivotArea>
    </format>
    <format dxfId="12">
      <pivotArea outline="0" collapsedLevelsAreSubtotals="1" fieldPosition="0"/>
    </format>
  </format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8837F-E0BC-4351-AF89-DCA0A8413266}" name="PivotTable8" cacheId="12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I37:J53" firstHeaderRow="1" firstDataRow="1" firstDataCol="1"/>
  <pivotFields count="17">
    <pivotField axis="axisRow" compact="0" outline="0" showAll="0" sortType="ascending">
      <items count="16">
        <item x="9"/>
        <item x="2"/>
        <item x="1"/>
        <item x="3"/>
        <item x="8"/>
        <item x="13"/>
        <item x="0"/>
        <item x="10"/>
        <item x="4"/>
        <item x="14"/>
        <item x="6"/>
        <item x="7"/>
        <item x="12"/>
        <item x="5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8">
        <item x="0"/>
        <item x="1"/>
        <item x="5"/>
        <item x="6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16">
    <i>
      <x v="11"/>
    </i>
    <i>
      <x v="8"/>
    </i>
    <i>
      <x v="10"/>
    </i>
    <i>
      <x v="1"/>
    </i>
    <i>
      <x v="9"/>
    </i>
    <i>
      <x v="5"/>
    </i>
    <i>
      <x v="6"/>
    </i>
    <i>
      <x v="3"/>
    </i>
    <i>
      <x v="4"/>
    </i>
    <i>
      <x v="7"/>
    </i>
    <i>
      <x v="12"/>
    </i>
    <i>
      <x v="14"/>
    </i>
    <i>
      <x v="13"/>
    </i>
    <i>
      <x/>
    </i>
    <i>
      <x v="2"/>
    </i>
    <i t="grand">
      <x/>
    </i>
  </rowItems>
  <colItems count="1">
    <i/>
  </colItems>
  <dataFields count="1">
    <dataField name="Average of match efficiency" fld="16" subtotal="average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64E32-138D-40E4-AEBE-554FDFECB447}" name="PivotTable3" cacheId="12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L27:M35" firstHeaderRow="1" firstDataRow="1" firstDataCol="1"/>
  <pivotFields count="17">
    <pivotField compact="0" outline="0" showAll="0">
      <items count="16">
        <item x="11"/>
        <item x="5"/>
        <item x="12"/>
        <item x="7"/>
        <item x="6"/>
        <item x="14"/>
        <item x="4"/>
        <item x="10"/>
        <item x="0"/>
        <item x="13"/>
        <item x="8"/>
        <item x="3"/>
        <item x="1"/>
        <item x="2"/>
        <item x="9"/>
        <item t="default"/>
      </items>
    </pivotField>
    <pivotField axis="axisRow" compact="0" outline="0" showAll="0">
      <items count="8">
        <item x="0"/>
        <item x="1"/>
        <item x="5"/>
        <item x="6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uns" fld="5" baseField="0" baseItem="0"/>
  </dataFields>
  <chartFormats count="32"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1D056-C4D9-4778-99D7-809E49BE1897}" name="PivotTable9" cacheId="12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E57:G65" firstHeaderRow="0" firstDataRow="1" firstDataCol="1"/>
  <pivotFields count="17">
    <pivotField compact="0" outline="0" showAll="0">
      <items count="16">
        <item x="11"/>
        <item x="5"/>
        <item x="12"/>
        <item x="7"/>
        <item x="6"/>
        <item x="14"/>
        <item x="4"/>
        <item x="10"/>
        <item x="0"/>
        <item x="13"/>
        <item x="8"/>
        <item x="3"/>
        <item x="1"/>
        <item x="2"/>
        <item x="9"/>
        <item t="default"/>
      </items>
    </pivotField>
    <pivotField axis="axisRow" compact="0" outline="0" showAll="0" sortType="descending">
      <items count="8">
        <item x="0"/>
        <item x="1"/>
        <item x="5"/>
        <item x="6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8">
    <i>
      <x v="3"/>
    </i>
    <i>
      <x/>
    </i>
    <i>
      <x v="2"/>
    </i>
    <i>
      <x v="5"/>
    </i>
    <i>
      <x v="4"/>
    </i>
    <i>
      <x v="1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uns" fld="5" baseField="0" baseItem="0"/>
    <dataField name="Sum of Wicket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53975-2A39-47C5-A09D-C852DFEA1D75}" name="PivotTable6" cacheId="12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6:C44" firstHeaderRow="0" firstDataRow="1" firstDataCol="1"/>
  <pivotFields count="17">
    <pivotField compact="0" outline="0" showAll="0">
      <items count="16">
        <item x="11"/>
        <item x="5"/>
        <item x="12"/>
        <item x="7"/>
        <item x="6"/>
        <item x="14"/>
        <item x="4"/>
        <item x="10"/>
        <item x="0"/>
        <item x="13"/>
        <item x="8"/>
        <item x="3"/>
        <item x="1"/>
        <item x="2"/>
        <item x="9"/>
        <item t="default"/>
      </items>
    </pivotField>
    <pivotField axis="axisRow" compact="0" outline="0" showAll="0" sortType="descending">
      <items count="8">
        <item x="0"/>
        <item x="1"/>
        <item x="5"/>
        <item x="6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8">
    <i>
      <x v="3"/>
    </i>
    <i>
      <x/>
    </i>
    <i>
      <x v="2"/>
    </i>
    <i>
      <x v="5"/>
    </i>
    <i>
      <x v="4"/>
    </i>
    <i>
      <x v="1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uns" fld="5" baseField="0" baseItem="0"/>
    <dataField name="Sum of Wickets" fld="9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ABC5D-9352-436D-B863-8661BF4F1A96}" name="PivotTable1" cacheId="12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C20:D26" firstHeaderRow="1" firstDataRow="1" firstDataCol="1"/>
  <pivotFields count="17">
    <pivotField axis="axisRow" compact="0" outline="0" showAll="0" measureFilter="1" sortType="ascending">
      <items count="16">
        <item x="11"/>
        <item x="5"/>
        <item x="12"/>
        <item x="7"/>
        <item x="6"/>
        <item x="14"/>
        <item x="4"/>
        <item x="10"/>
        <item x="0"/>
        <item x="13"/>
        <item x="8"/>
        <item x="3"/>
        <item x="1"/>
        <item x="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8">
        <item x="0"/>
        <item x="1"/>
        <item x="5"/>
        <item x="6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 v="7"/>
    </i>
    <i>
      <x v="2"/>
    </i>
    <i>
      <x/>
    </i>
    <i>
      <x v="10"/>
    </i>
    <i>
      <x v="14"/>
    </i>
    <i t="grand">
      <x/>
    </i>
  </rowItems>
  <colItems count="1">
    <i/>
  </colItems>
  <dataFields count="1">
    <dataField name="Sum of Runs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85B91-F17E-4986-8F0D-46CBCECFB57A}" name="PivotTable12" cacheId="12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1:B67" firstHeaderRow="1" firstDataRow="1" firstDataCol="1"/>
  <pivotFields count="17">
    <pivotField axis="axisRow" compact="0" outline="0" showAll="0">
      <items count="16">
        <item x="11"/>
        <item x="5"/>
        <item x="12"/>
        <item x="7"/>
        <item x="6"/>
        <item x="14"/>
        <item x="4"/>
        <item x="10"/>
        <item x="0"/>
        <item x="13"/>
        <item x="8"/>
        <item x="3"/>
        <item x="1"/>
        <item x="2"/>
        <item x="9"/>
        <item t="default"/>
      </items>
    </pivotField>
    <pivotField compact="0" outline="0" showAll="0">
      <items count="8">
        <item x="0"/>
        <item x="1"/>
        <item x="5"/>
        <item x="6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all rounder" fld="15" baseField="0" baseItem="0" numFmtId="4"/>
  </dataFields>
  <formats count="2">
    <format dxfId="9">
      <pivotArea outline="0" fieldPosition="0">
        <references count="1">
          <reference field="0" count="1" selected="0">
            <x v="0"/>
          </reference>
        </references>
      </pivotArea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36333-D4E0-4CCC-A272-3DE4A05D4E36}" name="PivotTable15" cacheId="124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M18:O22" firstHeaderRow="1" firstDataRow="1" firstDataCol="2"/>
  <pivotFields count="17">
    <pivotField axis="axisRow" compact="0" outline="0" showAll="0" sortType="ascending" defaultSubtotal="0">
      <items count="15">
        <item x="11"/>
        <item x="5"/>
        <item x="12"/>
        <item x="7"/>
        <item x="6"/>
        <item x="14"/>
        <item x="4"/>
        <item x="10"/>
        <item x="0"/>
        <item x="13"/>
        <item x="8"/>
        <item x="3"/>
        <item x="1"/>
        <item x="2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7">
        <item x="0"/>
        <item x="1"/>
        <item x="5"/>
        <item x="6"/>
        <item x="2"/>
        <item x="3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h="1" x="2"/>
        <item h="1" x="0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/>
  </pivotFields>
  <rowFields count="2">
    <field x="12"/>
    <field x="0"/>
  </rowFields>
  <rowItems count="4">
    <i>
      <x/>
      <x v="3"/>
    </i>
    <i r="1">
      <x v="4"/>
    </i>
    <i r="1">
      <x v="1"/>
    </i>
    <i r="1">
      <x v="12"/>
    </i>
  </rowItems>
  <colItems count="1">
    <i/>
  </colItems>
  <dataFields count="1">
    <dataField name="Sum of all rounder" fld="15" baseField="0" baseItem="0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2" count="1" selected="0">
            <x v="0"/>
          </reference>
        </references>
      </pivotArea>
    </chartFormat>
    <chartFormat chart="5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2" count="1" selected="0">
            <x v="0"/>
          </reference>
        </references>
      </pivotArea>
    </chartFormat>
    <chartFormat chart="5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layer_Name" xr10:uid="{AEEC3BEA-CBEC-4867-A8B8-01481CD4C475}" sourceName="Player Name">
  <pivotTables>
    <pivotTable tabId="1" name="PivotTable8"/>
    <pivotTable tabId="1" name="PivotTable6"/>
    <pivotTable tabId="1" name="PivotTable4"/>
    <pivotTable tabId="1" name="PivotTable9"/>
    <pivotTable tabId="1" name="PivotTable5"/>
    <pivotTable tabId="1" name="PivotTable3"/>
    <pivotTable tabId="1" name="PivotTable15"/>
    <pivotTable tabId="1" name="PivotTable7"/>
    <pivotTable tabId="1" name="PivotTable1"/>
    <pivotTable tabId="1" name="PivotTable12"/>
    <pivotTable tabId="1" name="PivotTable2"/>
  </pivotTables>
  <data>
    <tabular pivotCacheId="1268435739">
      <items count="15">
        <i x="11" s="1"/>
        <i x="5" s="1"/>
        <i x="12" s="1"/>
        <i x="7" s="1"/>
        <i x="6" s="1"/>
        <i x="14" s="1"/>
        <i x="4" s="1"/>
        <i x="10" s="1"/>
        <i x="0" s="1"/>
        <i x="13" s="1"/>
        <i x="8" s="1"/>
        <i x="3" s="1"/>
        <i x="1" s="1"/>
        <i x="2" s="1"/>
        <i x="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eam" xr10:uid="{D4544EAA-022F-461C-940D-ED64EF6F29C4}" sourceName="Team">
  <pivotTables>
    <pivotTable tabId="1" name="PivotTable1"/>
    <pivotTable tabId="1" name="PivotTable6"/>
    <pivotTable tabId="1" name="PivotTable4"/>
    <pivotTable tabId="1" name="PivotTable9"/>
    <pivotTable tabId="1" name="PivotTable12"/>
    <pivotTable tabId="1" name="PivotTable3"/>
    <pivotTable tabId="1" name="PivotTable15"/>
    <pivotTable tabId="1" name="PivotTable8"/>
    <pivotTable tabId="1" name="PivotTable7"/>
    <pivotTable tabId="1" name="PivotTable5"/>
    <pivotTable tabId="1" name="PivotTable2"/>
  </pivotTables>
  <data>
    <tabular pivotCacheId="1268435739">
      <items count="7">
        <i x="0" s="1"/>
        <i x="1" s="1"/>
        <i x="5" s="1"/>
        <i x="6" s="1"/>
        <i x="2" s="1"/>
        <i x="3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ole" xr10:uid="{05EEC2FB-1D95-4E49-9A5D-E72538F38943}" sourceName="Role">
  <pivotTables>
    <pivotTable tabId="1" name="PivotTable3"/>
    <pivotTable tabId="1" name="PivotTable7"/>
    <pivotTable tabId="1" name="PivotTable9"/>
    <pivotTable tabId="1" name="PivotTable8"/>
    <pivotTable tabId="1" name="PivotTable6"/>
    <pivotTable tabId="1" name="PivotTable1"/>
    <pivotTable tabId="1" name="PivotTable5"/>
    <pivotTable tabId="1" name="PivotTable4"/>
    <pivotTable tabId="1" name="PivotTable12"/>
    <pivotTable tabId="1" name="PivotTable2"/>
  </pivotTables>
  <data>
    <tabular pivotCacheId="1268435739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yer Name" xr10:uid="{8C352AAF-4B13-4EE6-BA2B-FBE7DE17DC0F}" cache="Slicer_Player_Name" caption="Player Name" startItem="2" style="SlicerStyleLight5" rowHeight="228600"/>
  <slicer name="Team" xr10:uid="{53BA51B9-7800-464B-91A9-BF6C065D6733}" cache="Slicer_Team" caption="Team" style="SlicerStyleLight5" rowHeight="228600"/>
  <slicer name="Role" xr10:uid="{06FD4855-BAC0-47B1-B96D-F035B11D9414}" cache="Slicer_Role" caption="Role" style="SlicerStyleLight5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2F57AE-238D-4210-97D3-F6BB7EF37B59}" name="Table1" displayName="Table1" ref="A1:Q17" totalsRowCount="1" headerRowDxfId="8" headerRowBorderDxfId="6" tableBorderDxfId="7">
  <autoFilter ref="A1:Q16" xr:uid="{152F57AE-238D-4210-97D3-F6BB7EF37B59}"/>
  <sortState xmlns:xlrd2="http://schemas.microsoft.com/office/spreadsheetml/2017/richdata2" ref="A2:P16">
    <sortCondition descending="1" ref="P1:P16"/>
  </sortState>
  <tableColumns count="17">
    <tableColumn id="1" xr3:uid="{E8BE6437-4615-43EE-95F6-DB35B9D2CDFE}" name="Player Name"/>
    <tableColumn id="2" xr3:uid="{F3E919EC-66A5-4134-A238-07223495722E}" name="Team"/>
    <tableColumn id="3" xr3:uid="{364FAD1F-E5A3-4BD3-84D8-6D1B4D50AE9D}" name="Matches"/>
    <tableColumn id="4" xr3:uid="{F53406B2-FAFB-45A8-A69F-C67807B86D82}" name="Innings"/>
    <tableColumn id="5" xr3:uid="{957A2A42-FF9C-4E73-A502-AB24D2459585}" name="Not Outs"/>
    <tableColumn id="6" xr3:uid="{31D24F3A-5F2F-4647-8434-33D6293FC879}" name="Runs"/>
    <tableColumn id="7" xr3:uid="{3BCAFA65-9F42-46D3-8092-1A66669CAE2E}" name="Balls Faced"/>
    <tableColumn id="8" xr3:uid="{959580AB-1702-4D2E-A2F4-C7566C8AE1D9}" name="Fours"/>
    <tableColumn id="9" xr3:uid="{6C6C6A6C-57DE-4611-9924-07900603B1D1}" name="Sixes"/>
    <tableColumn id="10" xr3:uid="{BDEAA214-F1C1-4C0A-9A4B-3CE6FB13FB84}" name="Wickets"/>
    <tableColumn id="11" xr3:uid="{ED57C96F-2F57-4B15-98E7-C152D897C44F}" name="Overs Bowled"/>
    <tableColumn id="12" xr3:uid="{AE2B2690-2584-4FD3-8EF3-4DB6E2A09EC4}" name="Runs Conceded"/>
    <tableColumn id="13" xr3:uid="{35980B18-CB6A-491D-9021-051F86F8A648}" name="Column1"/>
    <tableColumn id="14" xr3:uid="{73B0FBB8-C531-413A-B66A-C8AD213D1630}" name="Year"/>
    <tableColumn id="15" xr3:uid="{3E3BBA91-B8C9-4D91-9D54-BCCBA599CFCF}" name="strike rate" dataDxfId="4" totalsRowDxfId="5">
      <calculatedColumnFormula>IF((Table1[[#This Row],[Balls Faced]]&gt;0),(Table1[[#This Row],[Runs]]/Table1[[#This Row],[Balls Faced]])*100,"")</calculatedColumnFormula>
    </tableColumn>
    <tableColumn id="16" xr3:uid="{AC7463E2-866B-433F-9805-AC6CEE6801FA}" name="all rounder" dataDxfId="2" totalsRowDxfId="3">
      <calculatedColumnFormula>((Table1[[#This Row],[Runs]]/Table1[[#This Row],[Matches]])+(Table1[[#This Row],[Wickets]]*10))</calculatedColumnFormula>
    </tableColumn>
    <tableColumn id="17" xr3:uid="{45FF4FC9-ADD1-40ED-A9BD-42957EB2D7B9}" name="match efficiency" dataDxfId="0" totalsRowDxfId="1">
      <calculatedColumnFormula>(Table1[[#This Row],[Runs]]+Table1[[#This Row],[Wickets]]*20)/(Table1[[#This Row],[Matches]])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0CAB-73DA-4282-9C97-E34EF25C2563}">
  <dimension ref="A1:I4"/>
  <sheetViews>
    <sheetView showGridLines="0" tabSelected="1" workbookViewId="0">
      <selection activeCell="K2" sqref="K2"/>
    </sheetView>
  </sheetViews>
  <sheetFormatPr defaultColWidth="9.140625" defaultRowHeight="15"/>
  <cols>
    <col min="1" max="1" width="13.140625" customWidth="1"/>
    <col min="2" max="2" width="25.7109375" customWidth="1"/>
    <col min="3" max="3" width="25.85546875" customWidth="1"/>
    <col min="4" max="4" width="1" customWidth="1"/>
    <col min="5" max="5" width="25.7109375" customWidth="1"/>
    <col min="6" max="6" width="22.140625" customWidth="1"/>
    <col min="7" max="7" width="1" customWidth="1"/>
    <col min="8" max="9" width="25.7109375" customWidth="1"/>
    <col min="10" max="10" width="15.42578125" customWidth="1"/>
    <col min="11" max="11" width="11.85546875" customWidth="1"/>
    <col min="12" max="12" width="20.140625" customWidth="1"/>
    <col min="13" max="13" width="17.42578125" customWidth="1"/>
    <col min="14" max="14" width="20.140625" customWidth="1"/>
    <col min="15" max="15" width="12.140625" customWidth="1"/>
    <col min="16" max="16" width="10.85546875" customWidth="1"/>
    <col min="17" max="17" width="5.28515625" customWidth="1"/>
    <col min="18" max="18" width="12.42578125" customWidth="1"/>
    <col min="19" max="19" width="8.42578125" customWidth="1"/>
    <col min="20" max="20" width="11.7109375" customWidth="1"/>
    <col min="21" max="21" width="11.42578125" customWidth="1"/>
    <col min="22" max="26" width="25.7109375" customWidth="1"/>
    <col min="27" max="29" width="9.140625" bestFit="1" customWidth="1"/>
  </cols>
  <sheetData>
    <row r="1" spans="1:9" ht="45" customHeight="1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45" customHeight="1">
      <c r="A2" s="9"/>
      <c r="B2" s="9"/>
      <c r="C2" s="9"/>
      <c r="D2" s="9"/>
      <c r="E2" s="9"/>
      <c r="F2" s="9"/>
      <c r="G2" s="9"/>
      <c r="H2" s="9"/>
      <c r="I2" s="9"/>
    </row>
    <row r="3" spans="1:9" ht="28.5" customHeight="1">
      <c r="B3" s="16" t="s">
        <v>1</v>
      </c>
      <c r="C3" s="17"/>
      <c r="E3" s="12" t="s">
        <v>2</v>
      </c>
      <c r="F3" s="13"/>
      <c r="H3" s="12" t="s">
        <v>3</v>
      </c>
      <c r="I3" s="13"/>
    </row>
    <row r="4" spans="1:9" ht="21.75" customHeight="1">
      <c r="B4" s="18">
        <f>GETPIVOTDATA("runs",Sheet1!D22)</f>
        <v>48100</v>
      </c>
      <c r="C4" s="19"/>
      <c r="E4" s="14">
        <f>GETPIVOTDATA("WICKETS",Sheet1!G59)</f>
        <v>1193</v>
      </c>
      <c r="F4" s="15"/>
      <c r="H4" s="10">
        <f>GETPIVOTDATA("STRIKE RATE",Sheet1!H20)</f>
        <v>112.64142611825785</v>
      </c>
      <c r="I4" s="11"/>
    </row>
  </sheetData>
  <mergeCells count="8">
    <mergeCell ref="A1:I1"/>
    <mergeCell ref="A2:I2"/>
    <mergeCell ref="H4:I4"/>
    <mergeCell ref="E3:F3"/>
    <mergeCell ref="E4:F4"/>
    <mergeCell ref="H3:I3"/>
    <mergeCell ref="B3:C3"/>
    <mergeCell ref="B4:C4"/>
  </mergeCells>
  <pageMargins left="0.7" right="0.7" top="0.75" bottom="0.75" header="0.3" footer="0.3"/>
  <pageSetup paperSize="9" scale="45" fitToWidth="0" fitToHeight="0" orientation="portrait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"/>
  <sheetViews>
    <sheetView topLeftCell="A46" workbookViewId="0">
      <selection activeCell="I57" sqref="I57:J63"/>
    </sheetView>
  </sheetViews>
  <sheetFormatPr defaultRowHeight="15"/>
  <cols>
    <col min="1" max="1" width="20.140625" bestFit="1" customWidth="1"/>
    <col min="2" max="2" width="17.42578125" bestFit="1" customWidth="1"/>
    <col min="3" max="3" width="14.5703125" bestFit="1" customWidth="1"/>
    <col min="4" max="4" width="11.85546875" bestFit="1" customWidth="1"/>
    <col min="5" max="6" width="20.140625" bestFit="1" customWidth="1"/>
    <col min="7" max="7" width="11.85546875" bestFit="1" customWidth="1"/>
    <col min="8" max="8" width="20.140625" bestFit="1" customWidth="1"/>
    <col min="9" max="9" width="12.140625" bestFit="1" customWidth="1"/>
    <col min="10" max="10" width="14.5703125" bestFit="1" customWidth="1"/>
    <col min="11" max="11" width="17.7109375" customWidth="1"/>
    <col min="12" max="12" width="12.140625" customWidth="1"/>
    <col min="13" max="13" width="11.85546875" bestFit="1" customWidth="1"/>
    <col min="14" max="14" width="15.28515625" customWidth="1"/>
    <col min="15" max="15" width="17.42578125" bestFit="1" customWidth="1"/>
    <col min="16" max="16" width="8.7109375" bestFit="1" customWidth="1"/>
    <col min="17" max="17" width="7.140625" bestFit="1" customWidth="1"/>
    <col min="18" max="18" width="11.42578125" bestFit="1" customWidth="1"/>
  </cols>
  <sheetData>
    <row r="1" spans="1:17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</row>
    <row r="2" spans="1:17">
      <c r="A2" t="s">
        <v>21</v>
      </c>
      <c r="B2" t="s">
        <v>22</v>
      </c>
      <c r="C2">
        <v>130</v>
      </c>
      <c r="D2">
        <v>80</v>
      </c>
      <c r="E2">
        <v>30</v>
      </c>
      <c r="F2">
        <v>950</v>
      </c>
      <c r="G2">
        <v>820</v>
      </c>
      <c r="H2">
        <v>60</v>
      </c>
      <c r="I2">
        <v>25</v>
      </c>
      <c r="J2">
        <v>210</v>
      </c>
      <c r="K2">
        <v>980</v>
      </c>
      <c r="L2">
        <v>4400</v>
      </c>
      <c r="N2">
        <v>2023</v>
      </c>
      <c r="O2">
        <f>IF((Table1[[#This Row],[Balls Faced]]&gt;0),(Table1[[#This Row],[Runs]]/Table1[[#This Row],[Balls Faced]])*100,"")</f>
        <v>115.85365853658536</v>
      </c>
      <c r="P2">
        <f>((Table1[[#This Row],[Runs]]/Table1[[#This Row],[Matches]])+(Table1[[#This Row],[Wickets]]*10))</f>
        <v>2107.3076923076924</v>
      </c>
      <c r="Q2" s="4">
        <f>(Table1[[#This Row],[Runs]]+Table1[[#This Row],[Wickets]]*20)/(Table1[[#This Row],[Matches]])</f>
        <v>39.615384615384613</v>
      </c>
    </row>
    <row r="3" spans="1:17">
      <c r="A3" t="s">
        <v>23</v>
      </c>
      <c r="B3" t="s">
        <v>24</v>
      </c>
      <c r="C3">
        <v>210</v>
      </c>
      <c r="D3">
        <v>190</v>
      </c>
      <c r="E3">
        <v>40</v>
      </c>
      <c r="F3">
        <v>6900</v>
      </c>
      <c r="G3">
        <v>6700</v>
      </c>
      <c r="H3">
        <v>560</v>
      </c>
      <c r="I3">
        <v>90</v>
      </c>
      <c r="J3">
        <v>190</v>
      </c>
      <c r="K3">
        <v>960</v>
      </c>
      <c r="L3">
        <v>4200</v>
      </c>
      <c r="N3">
        <v>2023</v>
      </c>
      <c r="O3">
        <f>IF((Table1[[#This Row],[Balls Faced]]&gt;0),(Table1[[#This Row],[Runs]]/Table1[[#This Row],[Balls Faced]])*100,"")</f>
        <v>102.98507462686568</v>
      </c>
      <c r="P3">
        <f>((Table1[[#This Row],[Runs]]/Table1[[#This Row],[Matches]])+(Table1[[#This Row],[Wickets]]*10))</f>
        <v>1932.8571428571429</v>
      </c>
      <c r="Q3">
        <f>(Table1[[#This Row],[Runs]]+Table1[[#This Row],[Wickets]]*20)/(Table1[[#This Row],[Matches]])</f>
        <v>50.952380952380949</v>
      </c>
    </row>
    <row r="4" spans="1:17">
      <c r="A4" t="s">
        <v>25</v>
      </c>
      <c r="B4" t="s">
        <v>26</v>
      </c>
      <c r="C4">
        <v>120</v>
      </c>
      <c r="D4">
        <v>50</v>
      </c>
      <c r="E4">
        <v>20</v>
      </c>
      <c r="F4">
        <v>380</v>
      </c>
      <c r="G4">
        <v>300</v>
      </c>
      <c r="H4">
        <v>25</v>
      </c>
      <c r="I4">
        <v>8</v>
      </c>
      <c r="J4">
        <v>190</v>
      </c>
      <c r="K4">
        <v>950</v>
      </c>
      <c r="L4">
        <v>4200</v>
      </c>
      <c r="N4">
        <v>2023</v>
      </c>
      <c r="O4">
        <f>IF((Table1[[#This Row],[Balls Faced]]&gt;0),(Table1[[#This Row],[Runs]]/Table1[[#This Row],[Balls Faced]])*100,"")</f>
        <v>126.66666666666666</v>
      </c>
      <c r="P4">
        <f>((Table1[[#This Row],[Runs]]/Table1[[#This Row],[Matches]])+(Table1[[#This Row],[Wickets]]*10))</f>
        <v>1903.1666666666667</v>
      </c>
      <c r="Q4">
        <f>(Table1[[#This Row],[Runs]]+Table1[[#This Row],[Wickets]]*20)/(Table1[[#This Row],[Matches]])</f>
        <v>34.833333333333336</v>
      </c>
    </row>
    <row r="5" spans="1:17">
      <c r="A5" t="s">
        <v>27</v>
      </c>
      <c r="B5" t="s">
        <v>28</v>
      </c>
      <c r="C5">
        <v>95</v>
      </c>
      <c r="D5">
        <v>40</v>
      </c>
      <c r="E5">
        <v>10</v>
      </c>
      <c r="F5">
        <v>450</v>
      </c>
      <c r="G5">
        <v>300</v>
      </c>
      <c r="H5">
        <v>30</v>
      </c>
      <c r="I5">
        <v>10</v>
      </c>
      <c r="J5">
        <v>170</v>
      </c>
      <c r="K5">
        <v>850</v>
      </c>
      <c r="L5">
        <v>4100</v>
      </c>
      <c r="N5">
        <v>2023</v>
      </c>
      <c r="O5">
        <f>IF((Table1[[#This Row],[Balls Faced]]&gt;0),(Table1[[#This Row],[Runs]]/Table1[[#This Row],[Balls Faced]])*100,"")</f>
        <v>150</v>
      </c>
      <c r="P5">
        <f>((Table1[[#This Row],[Runs]]/Table1[[#This Row],[Matches]])+(Table1[[#This Row],[Wickets]]*10))</f>
        <v>1704.7368421052631</v>
      </c>
      <c r="Q5">
        <f>(Table1[[#This Row],[Runs]]+Table1[[#This Row],[Wickets]]*20)/(Table1[[#This Row],[Matches]])</f>
        <v>40.526315789473685</v>
      </c>
    </row>
    <row r="6" spans="1:17">
      <c r="A6" t="s">
        <v>29</v>
      </c>
      <c r="B6" t="s">
        <v>30</v>
      </c>
      <c r="C6">
        <v>115</v>
      </c>
      <c r="D6">
        <v>55</v>
      </c>
      <c r="E6">
        <v>15</v>
      </c>
      <c r="F6">
        <v>480</v>
      </c>
      <c r="G6">
        <v>350</v>
      </c>
      <c r="H6">
        <v>28</v>
      </c>
      <c r="I6">
        <v>10</v>
      </c>
      <c r="J6">
        <v>165</v>
      </c>
      <c r="K6">
        <v>860</v>
      </c>
      <c r="L6">
        <v>4000</v>
      </c>
      <c r="N6">
        <v>2023</v>
      </c>
      <c r="O6">
        <f>IF((Table1[[#This Row],[Balls Faced]]&gt;0),(Table1[[#This Row],[Runs]]/Table1[[#This Row],[Balls Faced]])*100,"")</f>
        <v>137.14285714285714</v>
      </c>
      <c r="P6">
        <f>((Table1[[#This Row],[Runs]]/Table1[[#This Row],[Matches]])+(Table1[[#This Row],[Wickets]]*10))</f>
        <v>1654.1739130434783</v>
      </c>
      <c r="Q6">
        <f>(Table1[[#This Row],[Runs]]+Table1[[#This Row],[Wickets]]*20)/(Table1[[#This Row],[Matches]])</f>
        <v>32.869565217391305</v>
      </c>
    </row>
    <row r="7" spans="1:17">
      <c r="A7" t="s">
        <v>31</v>
      </c>
      <c r="B7" t="s">
        <v>32</v>
      </c>
      <c r="C7">
        <v>150</v>
      </c>
      <c r="D7">
        <v>140</v>
      </c>
      <c r="E7">
        <v>25</v>
      </c>
      <c r="F7">
        <v>4800</v>
      </c>
      <c r="G7">
        <v>4600</v>
      </c>
      <c r="H7">
        <v>340</v>
      </c>
      <c r="I7">
        <v>120</v>
      </c>
      <c r="J7">
        <v>120</v>
      </c>
      <c r="K7">
        <v>740</v>
      </c>
      <c r="L7">
        <v>3900</v>
      </c>
      <c r="N7">
        <v>2023</v>
      </c>
      <c r="O7">
        <f>IF((Table1[[#This Row],[Balls Faced]]&gt;0),(Table1[[#This Row],[Runs]]/Table1[[#This Row],[Balls Faced]])*100,"")</f>
        <v>104.34782608695652</v>
      </c>
      <c r="P7">
        <f>((Table1[[#This Row],[Runs]]/Table1[[#This Row],[Matches]])+(Table1[[#This Row],[Wickets]]*10))</f>
        <v>1232</v>
      </c>
      <c r="Q7">
        <f>(Table1[[#This Row],[Runs]]+Table1[[#This Row],[Wickets]]*20)/(Table1[[#This Row],[Matches]])</f>
        <v>48</v>
      </c>
    </row>
    <row r="8" spans="1:17">
      <c r="A8" t="s">
        <v>33</v>
      </c>
      <c r="B8" t="s">
        <v>34</v>
      </c>
      <c r="C8">
        <v>120</v>
      </c>
      <c r="D8">
        <v>100</v>
      </c>
      <c r="E8">
        <v>20</v>
      </c>
      <c r="F8">
        <v>2600</v>
      </c>
      <c r="G8">
        <v>2300</v>
      </c>
      <c r="H8">
        <v>180</v>
      </c>
      <c r="I8">
        <v>85</v>
      </c>
      <c r="J8">
        <v>75</v>
      </c>
      <c r="K8">
        <v>400</v>
      </c>
      <c r="L8">
        <v>3200</v>
      </c>
      <c r="N8">
        <v>2023</v>
      </c>
      <c r="O8">
        <f>IF((Table1[[#This Row],[Balls Faced]]&gt;0),(Table1[[#This Row],[Runs]]/Table1[[#This Row],[Balls Faced]])*100,"")</f>
        <v>113.04347826086956</v>
      </c>
      <c r="P8">
        <f>((Table1[[#This Row],[Runs]]/Table1[[#This Row],[Matches]])+(Table1[[#This Row],[Wickets]]*10))</f>
        <v>771.66666666666663</v>
      </c>
      <c r="Q8">
        <f>(Table1[[#This Row],[Runs]]+Table1[[#This Row],[Wickets]]*20)/(Table1[[#This Row],[Matches]])</f>
        <v>34.166666666666664</v>
      </c>
    </row>
    <row r="9" spans="1:17">
      <c r="A9" t="s">
        <v>35</v>
      </c>
      <c r="B9" t="s">
        <v>22</v>
      </c>
      <c r="C9">
        <v>155</v>
      </c>
      <c r="D9">
        <v>145</v>
      </c>
      <c r="E9">
        <v>35</v>
      </c>
      <c r="F9">
        <v>4100</v>
      </c>
      <c r="G9">
        <v>2900</v>
      </c>
      <c r="H9">
        <v>370</v>
      </c>
      <c r="I9">
        <v>190</v>
      </c>
      <c r="J9">
        <v>45</v>
      </c>
      <c r="K9">
        <v>260</v>
      </c>
      <c r="L9">
        <v>2200</v>
      </c>
      <c r="N9">
        <v>2023</v>
      </c>
      <c r="O9">
        <f>IF((Table1[[#This Row],[Balls Faced]]&gt;0),(Table1[[#This Row],[Runs]]/Table1[[#This Row],[Balls Faced]])*100,"")</f>
        <v>141.37931034482759</v>
      </c>
      <c r="P9">
        <f>((Table1[[#This Row],[Runs]]/Table1[[#This Row],[Matches]])+(Table1[[#This Row],[Wickets]]*10))</f>
        <v>476.45161290322579</v>
      </c>
      <c r="Q9">
        <f>(Table1[[#This Row],[Runs]]+Table1[[#This Row],[Wickets]]*20)/(Table1[[#This Row],[Matches]])</f>
        <v>32.258064516129032</v>
      </c>
    </row>
    <row r="10" spans="1:17">
      <c r="A10" t="s">
        <v>36</v>
      </c>
      <c r="B10" t="s">
        <v>34</v>
      </c>
      <c r="C10">
        <v>250</v>
      </c>
      <c r="D10">
        <v>240</v>
      </c>
      <c r="E10">
        <v>25</v>
      </c>
      <c r="F10">
        <v>10700</v>
      </c>
      <c r="G10">
        <v>10900</v>
      </c>
      <c r="H10">
        <v>1020</v>
      </c>
      <c r="I10">
        <v>250</v>
      </c>
      <c r="J10">
        <v>8</v>
      </c>
      <c r="K10">
        <v>25</v>
      </c>
      <c r="L10">
        <v>130</v>
      </c>
      <c r="N10">
        <v>2023</v>
      </c>
      <c r="O10">
        <f>IF((Table1[[#This Row],[Balls Faced]]&gt;0),(Table1[[#This Row],[Runs]]/Table1[[#This Row],[Balls Faced]])*100,"")</f>
        <v>98.165137614678898</v>
      </c>
      <c r="P10">
        <f>((Table1[[#This Row],[Runs]]/Table1[[#This Row],[Matches]])+(Table1[[#This Row],[Wickets]]*10))</f>
        <v>122.8</v>
      </c>
      <c r="Q10">
        <f>(Table1[[#This Row],[Runs]]+Table1[[#This Row],[Wickets]]*20)/(Table1[[#This Row],[Matches]])</f>
        <v>43.44</v>
      </c>
    </row>
    <row r="11" spans="1:17">
      <c r="A11" t="s">
        <v>37</v>
      </c>
      <c r="B11" t="s">
        <v>34</v>
      </c>
      <c r="C11">
        <v>265</v>
      </c>
      <c r="D11">
        <v>250</v>
      </c>
      <c r="E11">
        <v>35</v>
      </c>
      <c r="F11">
        <v>12800</v>
      </c>
      <c r="G11">
        <v>13400</v>
      </c>
      <c r="H11">
        <v>1160</v>
      </c>
      <c r="I11">
        <v>130</v>
      </c>
      <c r="J11">
        <v>5</v>
      </c>
      <c r="K11">
        <v>12</v>
      </c>
      <c r="L11">
        <v>60</v>
      </c>
      <c r="N11">
        <v>2023</v>
      </c>
      <c r="O11">
        <f>IF((Table1[[#This Row],[Balls Faced]]&gt;0),(Table1[[#This Row],[Runs]]/Table1[[#This Row],[Balls Faced]])*100,"")</f>
        <v>95.522388059701484</v>
      </c>
      <c r="P11">
        <f>((Table1[[#This Row],[Runs]]/Table1[[#This Row],[Matches]])+(Table1[[#This Row],[Wickets]]*10))</f>
        <v>98.301886792452834</v>
      </c>
      <c r="Q11">
        <f>(Table1[[#This Row],[Runs]]+Table1[[#This Row],[Wickets]]*20)/(Table1[[#This Row],[Matches]])</f>
        <v>48.679245283018865</v>
      </c>
    </row>
    <row r="12" spans="1:17">
      <c r="A12" t="s">
        <v>38</v>
      </c>
      <c r="B12" t="s">
        <v>26</v>
      </c>
      <c r="C12">
        <v>180</v>
      </c>
      <c r="D12">
        <v>175</v>
      </c>
      <c r="E12">
        <v>30</v>
      </c>
      <c r="F12">
        <v>7800</v>
      </c>
      <c r="G12">
        <v>8100</v>
      </c>
      <c r="H12">
        <v>640</v>
      </c>
      <c r="I12">
        <v>85</v>
      </c>
      <c r="J12">
        <v>5</v>
      </c>
      <c r="K12">
        <v>25</v>
      </c>
      <c r="L12">
        <v>160</v>
      </c>
      <c r="N12">
        <v>2023</v>
      </c>
      <c r="O12">
        <f>IF((Table1[[#This Row],[Balls Faced]]&gt;0),(Table1[[#This Row],[Runs]]/Table1[[#This Row],[Balls Faced]])*100,"")</f>
        <v>96.296296296296291</v>
      </c>
      <c r="P12">
        <f>((Table1[[#This Row],[Runs]]/Table1[[#This Row],[Matches]])+(Table1[[#This Row],[Wickets]]*10))</f>
        <v>93.333333333333343</v>
      </c>
      <c r="Q12">
        <f>(Table1[[#This Row],[Runs]]+Table1[[#This Row],[Wickets]]*20)/(Table1[[#This Row],[Matches]])</f>
        <v>43.888888888888886</v>
      </c>
    </row>
    <row r="13" spans="1:17">
      <c r="A13" t="s">
        <v>39</v>
      </c>
      <c r="B13" t="s">
        <v>28</v>
      </c>
      <c r="C13">
        <v>180</v>
      </c>
      <c r="D13">
        <v>175</v>
      </c>
      <c r="E13">
        <v>25</v>
      </c>
      <c r="F13">
        <v>8500</v>
      </c>
      <c r="G13">
        <v>8800</v>
      </c>
      <c r="H13">
        <v>760</v>
      </c>
      <c r="I13">
        <v>90</v>
      </c>
      <c r="J13">
        <v>4</v>
      </c>
      <c r="K13">
        <v>20</v>
      </c>
      <c r="L13">
        <v>100</v>
      </c>
      <c r="N13">
        <v>2023</v>
      </c>
      <c r="O13">
        <f>IF((Table1[[#This Row],[Balls Faced]]&gt;0),(Table1[[#This Row],[Runs]]/Table1[[#This Row],[Balls Faced]])*100,"")</f>
        <v>96.590909090909093</v>
      </c>
      <c r="P13">
        <f>((Table1[[#This Row],[Runs]]/Table1[[#This Row],[Matches]])+(Table1[[#This Row],[Wickets]]*10))</f>
        <v>87.222222222222229</v>
      </c>
      <c r="Q13">
        <f>(Table1[[#This Row],[Runs]]+Table1[[#This Row],[Wickets]]*20)/(Table1[[#This Row],[Matches]])</f>
        <v>47.666666666666664</v>
      </c>
    </row>
    <row r="14" spans="1:17">
      <c r="A14" t="s">
        <v>40</v>
      </c>
      <c r="B14" t="s">
        <v>22</v>
      </c>
      <c r="C14">
        <v>180</v>
      </c>
      <c r="D14">
        <v>175</v>
      </c>
      <c r="E14">
        <v>20</v>
      </c>
      <c r="F14">
        <v>8300</v>
      </c>
      <c r="G14">
        <v>8700</v>
      </c>
      <c r="H14">
        <v>880</v>
      </c>
      <c r="I14">
        <v>120</v>
      </c>
      <c r="J14">
        <v>2</v>
      </c>
      <c r="K14">
        <v>10</v>
      </c>
      <c r="L14">
        <v>80</v>
      </c>
      <c r="N14">
        <v>2023</v>
      </c>
      <c r="O14">
        <f>IF((Table1[[#This Row],[Balls Faced]]&gt;0),(Table1[[#This Row],[Runs]]/Table1[[#This Row],[Balls Faced]])*100,"")</f>
        <v>95.402298850574709</v>
      </c>
      <c r="P14">
        <f>((Table1[[#This Row],[Runs]]/Table1[[#This Row],[Matches]])+(Table1[[#This Row],[Wickets]]*10))</f>
        <v>66.111111111111114</v>
      </c>
      <c r="Q14">
        <f>(Table1[[#This Row],[Runs]]+Table1[[#This Row],[Wickets]]*20)/(Table1[[#This Row],[Matches]])</f>
        <v>46.333333333333336</v>
      </c>
    </row>
    <row r="15" spans="1:17">
      <c r="A15" t="s">
        <v>41</v>
      </c>
      <c r="B15" t="s">
        <v>30</v>
      </c>
      <c r="C15">
        <v>110</v>
      </c>
      <c r="D15">
        <v>105</v>
      </c>
      <c r="E15">
        <v>15</v>
      </c>
      <c r="F15">
        <v>4100</v>
      </c>
      <c r="G15">
        <v>4000</v>
      </c>
      <c r="H15">
        <v>360</v>
      </c>
      <c r="I15">
        <v>45</v>
      </c>
      <c r="J15">
        <v>2</v>
      </c>
      <c r="K15">
        <v>10</v>
      </c>
      <c r="L15">
        <v>80</v>
      </c>
      <c r="N15">
        <v>2023</v>
      </c>
      <c r="O15">
        <f>IF((Table1[[#This Row],[Balls Faced]]&gt;0),(Table1[[#This Row],[Runs]]/Table1[[#This Row],[Balls Faced]])*100,"")</f>
        <v>102.49999999999999</v>
      </c>
      <c r="P15">
        <f>((Table1[[#This Row],[Runs]]/Table1[[#This Row],[Matches]])+(Table1[[#This Row],[Wickets]]*10))</f>
        <v>57.272727272727273</v>
      </c>
      <c r="Q15">
        <f>(Table1[[#This Row],[Runs]]+Table1[[#This Row],[Wickets]]*20)/(Table1[[#This Row],[Matches]])</f>
        <v>37.636363636363633</v>
      </c>
    </row>
    <row r="16" spans="1:17">
      <c r="A16" t="s">
        <v>42</v>
      </c>
      <c r="B16" t="s">
        <v>32</v>
      </c>
      <c r="C16">
        <v>160</v>
      </c>
      <c r="D16">
        <v>150</v>
      </c>
      <c r="E16">
        <v>20</v>
      </c>
      <c r="F16">
        <v>5800</v>
      </c>
      <c r="G16">
        <v>5100</v>
      </c>
      <c r="H16">
        <v>560</v>
      </c>
      <c r="I16">
        <v>220</v>
      </c>
      <c r="J16">
        <v>2</v>
      </c>
      <c r="K16">
        <v>5</v>
      </c>
      <c r="L16">
        <v>40</v>
      </c>
      <c r="N16">
        <v>2023</v>
      </c>
      <c r="O16">
        <f>IF((Table1[[#This Row],[Balls Faced]]&gt;0),(Table1[[#This Row],[Runs]]/Table1[[#This Row],[Balls Faced]])*100,"")</f>
        <v>113.72549019607843</v>
      </c>
      <c r="P16">
        <f>((Table1[[#This Row],[Runs]]/Table1[[#This Row],[Matches]])+(Table1[[#This Row],[Wickets]]*10))</f>
        <v>56.25</v>
      </c>
      <c r="Q16">
        <f>(Table1[[#This Row],[Runs]]+Table1[[#This Row],[Wickets]]*20)/(Table1[[#This Row],[Matches]])</f>
        <v>36.5</v>
      </c>
    </row>
    <row r="17" spans="3:17">
      <c r="O17" s="3"/>
      <c r="P17" s="3"/>
      <c r="Q17" s="3"/>
    </row>
    <row r="18" spans="3:17">
      <c r="G18" s="2" t="s">
        <v>4</v>
      </c>
      <c r="H18" t="s">
        <v>43</v>
      </c>
      <c r="M18" s="2" t="s">
        <v>44</v>
      </c>
      <c r="N18" s="2" t="s">
        <v>4</v>
      </c>
      <c r="O18" t="s">
        <v>45</v>
      </c>
    </row>
    <row r="19" spans="3:17">
      <c r="G19" t="s">
        <v>39</v>
      </c>
      <c r="H19" s="6">
        <v>96.590909090909093</v>
      </c>
      <c r="M19" t="s">
        <v>46</v>
      </c>
      <c r="N19" t="s">
        <v>35</v>
      </c>
      <c r="O19" s="3">
        <v>476.45161290322579</v>
      </c>
    </row>
    <row r="20" spans="3:17">
      <c r="C20" s="2" t="s">
        <v>4</v>
      </c>
      <c r="D20" t="s">
        <v>47</v>
      </c>
      <c r="G20" t="s">
        <v>31</v>
      </c>
      <c r="H20" s="6">
        <v>104.34782608695652</v>
      </c>
      <c r="I20" s="2" t="s">
        <v>5</v>
      </c>
      <c r="J20" t="s">
        <v>48</v>
      </c>
      <c r="N20" t="s">
        <v>33</v>
      </c>
      <c r="O20" s="3">
        <v>771.66666666666663</v>
      </c>
    </row>
    <row r="21" spans="3:17">
      <c r="C21" t="s">
        <v>38</v>
      </c>
      <c r="D21" s="3">
        <v>7800</v>
      </c>
      <c r="F21">
        <f>B34</f>
        <v>0</v>
      </c>
      <c r="G21" t="s">
        <v>40</v>
      </c>
      <c r="H21" s="6">
        <v>95.402298850574709</v>
      </c>
      <c r="I21" t="s">
        <v>22</v>
      </c>
      <c r="J21" s="3">
        <v>257</v>
      </c>
      <c r="N21" t="s">
        <v>31</v>
      </c>
      <c r="O21" s="3">
        <v>1232</v>
      </c>
    </row>
    <row r="22" spans="3:17">
      <c r="C22" t="s">
        <v>40</v>
      </c>
      <c r="D22" s="3">
        <v>8300</v>
      </c>
      <c r="G22" t="s">
        <v>35</v>
      </c>
      <c r="H22" s="6">
        <v>141.37931034482759</v>
      </c>
      <c r="I22" t="s">
        <v>26</v>
      </c>
      <c r="J22" s="3">
        <v>195</v>
      </c>
      <c r="N22" t="s">
        <v>23</v>
      </c>
      <c r="O22" s="3">
        <v>1932.8571428571429</v>
      </c>
    </row>
    <row r="23" spans="3:17">
      <c r="C23" t="s">
        <v>39</v>
      </c>
      <c r="D23" s="3">
        <v>8500</v>
      </c>
      <c r="G23" t="s">
        <v>33</v>
      </c>
      <c r="H23" s="6">
        <v>113.04347826086956</v>
      </c>
      <c r="I23" t="s">
        <v>24</v>
      </c>
      <c r="J23" s="3">
        <v>190</v>
      </c>
    </row>
    <row r="24" spans="3:17">
      <c r="C24" t="s">
        <v>36</v>
      </c>
      <c r="D24" s="3">
        <v>10700</v>
      </c>
      <c r="G24" t="s">
        <v>42</v>
      </c>
      <c r="H24" s="6">
        <v>113.72549019607843</v>
      </c>
      <c r="I24" t="s">
        <v>28</v>
      </c>
      <c r="J24" s="3">
        <v>174</v>
      </c>
    </row>
    <row r="25" spans="3:17">
      <c r="C25" t="s">
        <v>37</v>
      </c>
      <c r="D25" s="3">
        <v>12800</v>
      </c>
      <c r="G25" t="s">
        <v>29</v>
      </c>
      <c r="H25" s="6">
        <v>137.14285714285714</v>
      </c>
      <c r="I25" t="s">
        <v>30</v>
      </c>
      <c r="J25" s="3">
        <v>167</v>
      </c>
    </row>
    <row r="26" spans="3:17">
      <c r="C26" t="s">
        <v>49</v>
      </c>
      <c r="D26" s="3">
        <v>48100</v>
      </c>
      <c r="E26" t="e" vm="1">
        <v>#VALUE!</v>
      </c>
      <c r="G26" t="s">
        <v>38</v>
      </c>
      <c r="H26" s="6">
        <v>96.296296296296291</v>
      </c>
      <c r="I26" t="s">
        <v>32</v>
      </c>
      <c r="J26" s="3">
        <v>122</v>
      </c>
    </row>
    <row r="27" spans="3:17">
      <c r="G27" t="s">
        <v>21</v>
      </c>
      <c r="H27" s="6">
        <v>115.85365853658536</v>
      </c>
      <c r="I27" t="s">
        <v>34</v>
      </c>
      <c r="J27" s="3">
        <v>88</v>
      </c>
      <c r="L27" s="2" t="s">
        <v>5</v>
      </c>
      <c r="M27" t="s">
        <v>47</v>
      </c>
    </row>
    <row r="28" spans="3:17">
      <c r="G28" t="s">
        <v>41</v>
      </c>
      <c r="H28" s="6">
        <v>102.49999999999999</v>
      </c>
      <c r="I28" t="s">
        <v>49</v>
      </c>
      <c r="J28" s="3">
        <v>1193</v>
      </c>
      <c r="L28" t="s">
        <v>22</v>
      </c>
      <c r="M28" s="3">
        <v>13350</v>
      </c>
    </row>
    <row r="29" spans="3:17">
      <c r="G29" t="s">
        <v>36</v>
      </c>
      <c r="H29" s="6">
        <v>98.165137614678898</v>
      </c>
      <c r="L29" t="s">
        <v>24</v>
      </c>
      <c r="M29" s="3">
        <v>6900</v>
      </c>
    </row>
    <row r="30" spans="3:17">
      <c r="G30" t="s">
        <v>27</v>
      </c>
      <c r="H30" s="6">
        <v>150</v>
      </c>
      <c r="L30" t="s">
        <v>32</v>
      </c>
      <c r="M30" s="3">
        <v>10600</v>
      </c>
    </row>
    <row r="31" spans="3:17">
      <c r="G31" t="s">
        <v>23</v>
      </c>
      <c r="H31" s="6">
        <v>102.98507462686568</v>
      </c>
      <c r="L31" t="s">
        <v>34</v>
      </c>
      <c r="M31" s="3">
        <v>26100</v>
      </c>
    </row>
    <row r="32" spans="3:17">
      <c r="G32" t="s">
        <v>25</v>
      </c>
      <c r="H32" s="6">
        <v>126.66666666666666</v>
      </c>
      <c r="L32" t="s">
        <v>26</v>
      </c>
      <c r="M32" s="3">
        <v>8180</v>
      </c>
    </row>
    <row r="33" spans="1:14">
      <c r="G33" t="s">
        <v>37</v>
      </c>
      <c r="H33" s="6">
        <v>95.522388059701484</v>
      </c>
      <c r="L33" t="s">
        <v>28</v>
      </c>
      <c r="M33" s="3">
        <v>8950</v>
      </c>
    </row>
    <row r="34" spans="1:14">
      <c r="G34" t="s">
        <v>49</v>
      </c>
      <c r="H34" s="6">
        <v>112.64142611825785</v>
      </c>
      <c r="L34" t="s">
        <v>30</v>
      </c>
      <c r="M34" s="3">
        <v>4580</v>
      </c>
    </row>
    <row r="35" spans="1:14">
      <c r="C35">
        <f>B34</f>
        <v>0</v>
      </c>
      <c r="L35" t="s">
        <v>49</v>
      </c>
      <c r="M35" s="3">
        <v>78660</v>
      </c>
    </row>
    <row r="36" spans="1:14">
      <c r="A36" s="2" t="s">
        <v>5</v>
      </c>
      <c r="B36" t="s">
        <v>47</v>
      </c>
      <c r="C36" t="s">
        <v>48</v>
      </c>
      <c r="E36" s="2" t="s">
        <v>4</v>
      </c>
      <c r="F36" t="s">
        <v>43</v>
      </c>
      <c r="G36" t="s">
        <v>47</v>
      </c>
    </row>
    <row r="37" spans="1:14">
      <c r="A37" t="s">
        <v>34</v>
      </c>
      <c r="B37" s="3">
        <v>26100</v>
      </c>
      <c r="C37" s="3">
        <v>88</v>
      </c>
      <c r="E37" t="s">
        <v>39</v>
      </c>
      <c r="F37" s="3">
        <v>96.590909090909093</v>
      </c>
      <c r="G37" s="3">
        <v>8500</v>
      </c>
      <c r="I37" s="2" t="s">
        <v>4</v>
      </c>
      <c r="J37" t="s">
        <v>50</v>
      </c>
    </row>
    <row r="38" spans="1:14">
      <c r="A38" t="s">
        <v>22</v>
      </c>
      <c r="B38" s="3">
        <v>13350</v>
      </c>
      <c r="C38" s="3">
        <v>257</v>
      </c>
      <c r="E38" t="s">
        <v>31</v>
      </c>
      <c r="F38" s="3">
        <v>104.34782608695652</v>
      </c>
      <c r="G38" s="3">
        <v>4800</v>
      </c>
      <c r="I38" t="s">
        <v>35</v>
      </c>
      <c r="J38" s="3">
        <v>32.258064516129032</v>
      </c>
    </row>
    <row r="39" spans="1:14">
      <c r="A39" t="s">
        <v>32</v>
      </c>
      <c r="B39" s="3">
        <v>10600</v>
      </c>
      <c r="C39" s="3">
        <v>122</v>
      </c>
      <c r="E39" t="s">
        <v>40</v>
      </c>
      <c r="F39" s="3">
        <v>95.402298850574709</v>
      </c>
      <c r="G39" s="3">
        <v>8300</v>
      </c>
      <c r="I39" t="s">
        <v>29</v>
      </c>
      <c r="J39" s="3">
        <v>32.869565217391305</v>
      </c>
      <c r="M39" s="5"/>
      <c r="N39" s="5"/>
    </row>
    <row r="40" spans="1:14">
      <c r="A40" t="s">
        <v>28</v>
      </c>
      <c r="B40" s="3">
        <v>8950</v>
      </c>
      <c r="C40" s="3">
        <v>174</v>
      </c>
      <c r="E40" t="s">
        <v>35</v>
      </c>
      <c r="F40" s="3">
        <v>141.37931034482759</v>
      </c>
      <c r="G40" s="3">
        <v>4100</v>
      </c>
      <c r="I40" t="s">
        <v>33</v>
      </c>
      <c r="J40" s="3">
        <v>34.166666666666664</v>
      </c>
      <c r="M40" s="5"/>
      <c r="N40" s="5"/>
    </row>
    <row r="41" spans="1:14">
      <c r="A41" t="s">
        <v>26</v>
      </c>
      <c r="B41" s="3">
        <v>8180</v>
      </c>
      <c r="C41" s="3">
        <v>195</v>
      </c>
      <c r="E41" t="s">
        <v>33</v>
      </c>
      <c r="F41" s="3">
        <v>113.04347826086956</v>
      </c>
      <c r="G41" s="3">
        <v>2600</v>
      </c>
      <c r="I41" t="s">
        <v>25</v>
      </c>
      <c r="J41" s="3">
        <v>34.833333333333336</v>
      </c>
      <c r="M41" s="5"/>
      <c r="N41" s="5"/>
    </row>
    <row r="42" spans="1:14">
      <c r="A42" t="s">
        <v>24</v>
      </c>
      <c r="B42" s="3">
        <v>6900</v>
      </c>
      <c r="C42" s="3">
        <v>190</v>
      </c>
      <c r="E42" t="s">
        <v>42</v>
      </c>
      <c r="F42" s="3">
        <v>113.72549019607843</v>
      </c>
      <c r="G42" s="3">
        <v>5800</v>
      </c>
      <c r="I42" t="s">
        <v>42</v>
      </c>
      <c r="J42" s="3">
        <v>36.5</v>
      </c>
    </row>
    <row r="43" spans="1:14">
      <c r="A43" t="s">
        <v>30</v>
      </c>
      <c r="B43" s="3">
        <v>4580</v>
      </c>
      <c r="C43" s="3">
        <v>167</v>
      </c>
      <c r="E43" t="s">
        <v>29</v>
      </c>
      <c r="F43" s="3">
        <v>137.14285714285714</v>
      </c>
      <c r="G43" s="3">
        <v>480</v>
      </c>
      <c r="I43" t="s">
        <v>41</v>
      </c>
      <c r="J43" s="3">
        <v>37.636363636363633</v>
      </c>
    </row>
    <row r="44" spans="1:14">
      <c r="A44" t="s">
        <v>49</v>
      </c>
      <c r="B44" s="3">
        <v>78660</v>
      </c>
      <c r="C44" s="3">
        <v>1193</v>
      </c>
      <c r="E44" t="s">
        <v>38</v>
      </c>
      <c r="F44" s="3">
        <v>96.296296296296291</v>
      </c>
      <c r="G44" s="3">
        <v>7800</v>
      </c>
      <c r="I44" t="s">
        <v>21</v>
      </c>
      <c r="J44" s="3">
        <v>39.615384615384613</v>
      </c>
    </row>
    <row r="45" spans="1:14">
      <c r="E45" t="s">
        <v>21</v>
      </c>
      <c r="F45" s="3">
        <v>115.85365853658536</v>
      </c>
      <c r="G45" s="3">
        <v>950</v>
      </c>
      <c r="I45" t="s">
        <v>27</v>
      </c>
      <c r="J45" s="3">
        <v>40.526315789473685</v>
      </c>
    </row>
    <row r="46" spans="1:14">
      <c r="E46" t="s">
        <v>41</v>
      </c>
      <c r="F46" s="3">
        <v>102.49999999999999</v>
      </c>
      <c r="G46" s="3">
        <v>4100</v>
      </c>
      <c r="I46" t="s">
        <v>36</v>
      </c>
      <c r="J46" s="3">
        <v>43.44</v>
      </c>
    </row>
    <row r="47" spans="1:14">
      <c r="E47" t="s">
        <v>36</v>
      </c>
      <c r="F47" s="3">
        <v>98.165137614678898</v>
      </c>
      <c r="G47" s="3">
        <v>10700</v>
      </c>
      <c r="I47" t="s">
        <v>38</v>
      </c>
      <c r="J47" s="3">
        <v>43.888888888888886</v>
      </c>
    </row>
    <row r="48" spans="1:14">
      <c r="E48" t="s">
        <v>27</v>
      </c>
      <c r="F48" s="3">
        <v>150</v>
      </c>
      <c r="G48" s="3">
        <v>450</v>
      </c>
      <c r="I48" t="s">
        <v>40</v>
      </c>
      <c r="J48" s="3">
        <v>46.333333333333336</v>
      </c>
    </row>
    <row r="49" spans="1:10">
      <c r="E49" t="s">
        <v>23</v>
      </c>
      <c r="F49" s="3">
        <v>102.98507462686568</v>
      </c>
      <c r="G49" s="3">
        <v>6900</v>
      </c>
      <c r="I49" t="s">
        <v>39</v>
      </c>
      <c r="J49" s="3">
        <v>47.666666666666664</v>
      </c>
    </row>
    <row r="50" spans="1:10">
      <c r="E50" t="s">
        <v>25</v>
      </c>
      <c r="F50" s="3">
        <v>126.66666666666666</v>
      </c>
      <c r="G50" s="3">
        <v>380</v>
      </c>
      <c r="I50" t="s">
        <v>31</v>
      </c>
      <c r="J50" s="3">
        <v>48</v>
      </c>
    </row>
    <row r="51" spans="1:10">
      <c r="A51" s="2" t="s">
        <v>4</v>
      </c>
      <c r="B51" t="s">
        <v>45</v>
      </c>
      <c r="E51" t="s">
        <v>37</v>
      </c>
      <c r="F51" s="3">
        <v>95.522388059701484</v>
      </c>
      <c r="G51" s="3">
        <v>12800</v>
      </c>
      <c r="I51" t="s">
        <v>37</v>
      </c>
      <c r="J51" s="3">
        <v>48.679245283018865</v>
      </c>
    </row>
    <row r="52" spans="1:10">
      <c r="A52" t="s">
        <v>39</v>
      </c>
      <c r="B52" s="7">
        <v>87.222222222222229</v>
      </c>
      <c r="E52" t="s">
        <v>49</v>
      </c>
      <c r="F52" s="3">
        <v>112.64142611825785</v>
      </c>
      <c r="G52" s="3">
        <v>78660</v>
      </c>
      <c r="I52" t="s">
        <v>23</v>
      </c>
      <c r="J52" s="3">
        <v>50.952380952380949</v>
      </c>
    </row>
    <row r="53" spans="1:10">
      <c r="A53" t="s">
        <v>31</v>
      </c>
      <c r="B53" s="7">
        <v>1232</v>
      </c>
      <c r="I53" t="s">
        <v>49</v>
      </c>
      <c r="J53" s="3">
        <v>41.157747259935398</v>
      </c>
    </row>
    <row r="54" spans="1:10">
      <c r="A54" t="s">
        <v>40</v>
      </c>
      <c r="B54" s="7">
        <v>66.111111111111114</v>
      </c>
    </row>
    <row r="55" spans="1:10">
      <c r="A55" t="s">
        <v>35</v>
      </c>
      <c r="B55" s="7">
        <v>476.45161290322579</v>
      </c>
    </row>
    <row r="56" spans="1:10">
      <c r="A56" t="s">
        <v>33</v>
      </c>
      <c r="B56" s="7">
        <v>771.66666666666663</v>
      </c>
    </row>
    <row r="57" spans="1:10">
      <c r="A57" t="s">
        <v>42</v>
      </c>
      <c r="B57" s="7">
        <v>56.25</v>
      </c>
      <c r="E57" s="2" t="s">
        <v>5</v>
      </c>
      <c r="F57" t="s">
        <v>47</v>
      </c>
      <c r="G57" t="s">
        <v>48</v>
      </c>
      <c r="I57" s="2" t="s">
        <v>4</v>
      </c>
      <c r="J57" t="s">
        <v>48</v>
      </c>
    </row>
    <row r="58" spans="1:10">
      <c r="A58" t="s">
        <v>29</v>
      </c>
      <c r="B58" s="7">
        <v>1654.1739130434783</v>
      </c>
      <c r="E58" t="s">
        <v>34</v>
      </c>
      <c r="F58" s="3">
        <v>26100</v>
      </c>
      <c r="G58" s="3">
        <v>88</v>
      </c>
      <c r="I58" t="s">
        <v>29</v>
      </c>
      <c r="J58" s="3">
        <v>165</v>
      </c>
    </row>
    <row r="59" spans="1:10">
      <c r="A59" t="s">
        <v>38</v>
      </c>
      <c r="B59" s="7">
        <v>93.333333333333343</v>
      </c>
      <c r="E59" t="s">
        <v>22</v>
      </c>
      <c r="F59" s="3">
        <v>13350</v>
      </c>
      <c r="G59" s="3">
        <v>257</v>
      </c>
      <c r="I59" t="s">
        <v>27</v>
      </c>
      <c r="J59" s="3">
        <v>170</v>
      </c>
    </row>
    <row r="60" spans="1:10">
      <c r="A60" t="s">
        <v>21</v>
      </c>
      <c r="B60" s="7">
        <v>2107.3076923076924</v>
      </c>
      <c r="E60" t="s">
        <v>32</v>
      </c>
      <c r="F60" s="3">
        <v>10600</v>
      </c>
      <c r="G60" s="3">
        <v>122</v>
      </c>
      <c r="I60" t="s">
        <v>23</v>
      </c>
      <c r="J60" s="3">
        <v>190</v>
      </c>
    </row>
    <row r="61" spans="1:10">
      <c r="A61" t="s">
        <v>41</v>
      </c>
      <c r="B61" s="7">
        <v>57.272727272727273</v>
      </c>
      <c r="E61" t="s">
        <v>28</v>
      </c>
      <c r="F61" s="3">
        <v>8950</v>
      </c>
      <c r="G61" s="3">
        <v>174</v>
      </c>
      <c r="I61" t="s">
        <v>25</v>
      </c>
      <c r="J61" s="3">
        <v>190</v>
      </c>
    </row>
    <row r="62" spans="1:10">
      <c r="A62" t="s">
        <v>36</v>
      </c>
      <c r="B62" s="7">
        <v>122.8</v>
      </c>
      <c r="E62" t="s">
        <v>26</v>
      </c>
      <c r="F62" s="3">
        <v>8180</v>
      </c>
      <c r="G62" s="3">
        <v>195</v>
      </c>
      <c r="I62" t="s">
        <v>21</v>
      </c>
      <c r="J62" s="3">
        <v>210</v>
      </c>
    </row>
    <row r="63" spans="1:10">
      <c r="A63" t="s">
        <v>27</v>
      </c>
      <c r="B63" s="7">
        <v>1704.7368421052631</v>
      </c>
      <c r="E63" t="s">
        <v>24</v>
      </c>
      <c r="F63" s="3">
        <v>6900</v>
      </c>
      <c r="G63" s="3">
        <v>190</v>
      </c>
      <c r="I63" t="s">
        <v>49</v>
      </c>
      <c r="J63" s="3">
        <v>925</v>
      </c>
    </row>
    <row r="64" spans="1:10">
      <c r="A64" t="s">
        <v>23</v>
      </c>
      <c r="B64" s="7">
        <v>1932.8571428571429</v>
      </c>
      <c r="E64" t="s">
        <v>30</v>
      </c>
      <c r="F64" s="3">
        <v>4580</v>
      </c>
      <c r="G64" s="3">
        <v>167</v>
      </c>
    </row>
    <row r="65" spans="1:7">
      <c r="A65" t="s">
        <v>25</v>
      </c>
      <c r="B65" s="7">
        <v>1903.1666666666667</v>
      </c>
      <c r="E65" t="s">
        <v>49</v>
      </c>
      <c r="F65" s="3">
        <v>78660</v>
      </c>
      <c r="G65" s="3">
        <v>1193</v>
      </c>
    </row>
    <row r="66" spans="1:7">
      <c r="A66" t="s">
        <v>37</v>
      </c>
      <c r="B66" s="7">
        <v>98.301886792452834</v>
      </c>
    </row>
    <row r="67" spans="1:7">
      <c r="A67" t="s">
        <v>49</v>
      </c>
      <c r="B67" s="7">
        <v>12363.651817281981</v>
      </c>
    </row>
  </sheetData>
  <pageMargins left="0.7" right="0.7" top="0.75" bottom="0.75" header="0.3" footer="0.3"/>
  <drawing r:id="rId12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2025-11-10T16:28:12Z</dcterms:created>
  <dcterms:modified xsi:type="dcterms:W3CDTF">2025-11-18T05:50:56Z</dcterms:modified>
  <cp:category/>
  <cp:contentStatus/>
</cp:coreProperties>
</file>